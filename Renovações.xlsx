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_costa/Desktop/"/>
    </mc:Choice>
  </mc:AlternateContent>
  <xr:revisionPtr revIDLastSave="0" documentId="13_ncr:1_{06304486-E190-D540-AE2E-E5818A20C638}" xr6:coauthVersionLast="47" xr6:coauthVersionMax="47" xr10:uidLastSave="{00000000-0000-0000-0000-000000000000}"/>
  <bookViews>
    <workbookView xWindow="0" yWindow="660" windowWidth="29400" windowHeight="18460" xr2:uid="{783BE290-C5CD-904F-834A-A10F39983735}"/>
  </bookViews>
  <sheets>
    <sheet name="Renovacõ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9" i="1" l="1"/>
  <c r="P359" i="1" s="1"/>
  <c r="N359" i="1"/>
  <c r="O358" i="1"/>
  <c r="P358" i="1" s="1"/>
  <c r="N358" i="1"/>
  <c r="O357" i="1"/>
  <c r="N357" i="1" s="1"/>
  <c r="O356" i="1"/>
  <c r="P356" i="1" s="1"/>
  <c r="O355" i="1"/>
  <c r="N355" i="1" s="1"/>
  <c r="P354" i="1"/>
  <c r="O354" i="1"/>
  <c r="N354" i="1"/>
  <c r="O353" i="1"/>
  <c r="P353" i="1" s="1"/>
  <c r="P352" i="1"/>
  <c r="O352" i="1"/>
  <c r="N352" i="1"/>
  <c r="O351" i="1"/>
  <c r="P351" i="1" s="1"/>
  <c r="N351" i="1"/>
  <c r="O350" i="1"/>
  <c r="P350" i="1" s="1"/>
  <c r="O349" i="1"/>
  <c r="N349" i="1" s="1"/>
  <c r="O348" i="1"/>
  <c r="P348" i="1" s="1"/>
  <c r="N348" i="1"/>
  <c r="O347" i="1"/>
  <c r="N347" i="1" s="1"/>
  <c r="P346" i="1"/>
  <c r="O346" i="1"/>
  <c r="N346" i="1"/>
  <c r="O345" i="1"/>
  <c r="P345" i="1" s="1"/>
  <c r="N345" i="1"/>
  <c r="P344" i="1"/>
  <c r="O344" i="1"/>
  <c r="N344" i="1"/>
  <c r="O343" i="1"/>
  <c r="P343" i="1" s="1"/>
  <c r="N343" i="1"/>
  <c r="O342" i="1"/>
  <c r="P342" i="1" s="1"/>
  <c r="N342" i="1"/>
  <c r="O341" i="1"/>
  <c r="N341" i="1" s="1"/>
  <c r="O340" i="1"/>
  <c r="P340" i="1" s="1"/>
  <c r="N340" i="1"/>
  <c r="P339" i="1"/>
  <c r="O339" i="1"/>
  <c r="N339" i="1" s="1"/>
  <c r="P338" i="1"/>
  <c r="O338" i="1"/>
  <c r="N338" i="1"/>
  <c r="O337" i="1"/>
  <c r="P337" i="1" s="1"/>
  <c r="N337" i="1"/>
  <c r="P336" i="1"/>
  <c r="O336" i="1"/>
  <c r="N336" i="1"/>
  <c r="O335" i="1"/>
  <c r="P335" i="1" s="1"/>
  <c r="N335" i="1"/>
  <c r="O334" i="1"/>
  <c r="P334" i="1" s="1"/>
  <c r="N334" i="1"/>
  <c r="O333" i="1"/>
  <c r="N333" i="1" s="1"/>
  <c r="O332" i="1"/>
  <c r="P332" i="1" s="1"/>
  <c r="O331" i="1"/>
  <c r="N331" i="1" s="1"/>
  <c r="P330" i="1"/>
  <c r="O330" i="1"/>
  <c r="N330" i="1"/>
  <c r="P329" i="1"/>
  <c r="O329" i="1"/>
  <c r="N329" i="1" s="1"/>
  <c r="P328" i="1"/>
  <c r="O328" i="1"/>
  <c r="N328" i="1"/>
  <c r="O327" i="1"/>
  <c r="P327" i="1" s="1"/>
  <c r="N327" i="1"/>
  <c r="P326" i="1"/>
  <c r="O326" i="1"/>
  <c r="N326" i="1" s="1"/>
  <c r="O325" i="1"/>
  <c r="N325" i="1" s="1"/>
  <c r="O324" i="1"/>
  <c r="P324" i="1" s="1"/>
  <c r="N324" i="1"/>
  <c r="O323" i="1"/>
  <c r="N323" i="1" s="1"/>
  <c r="P322" i="1"/>
  <c r="O322" i="1"/>
  <c r="N322" i="1"/>
  <c r="O321" i="1"/>
  <c r="P321" i="1" s="1"/>
  <c r="N321" i="1"/>
  <c r="P320" i="1"/>
  <c r="O320" i="1"/>
  <c r="N320" i="1"/>
  <c r="O319" i="1"/>
  <c r="P319" i="1" s="1"/>
  <c r="N319" i="1"/>
  <c r="O318" i="1"/>
  <c r="P318" i="1" s="1"/>
  <c r="N318" i="1"/>
  <c r="O317" i="1"/>
  <c r="N317" i="1" s="1"/>
  <c r="O316" i="1"/>
  <c r="P316" i="1" s="1"/>
  <c r="N316" i="1"/>
  <c r="P315" i="1"/>
  <c r="O315" i="1"/>
  <c r="N315" i="1" s="1"/>
  <c r="P314" i="1"/>
  <c r="O314" i="1"/>
  <c r="N314" i="1"/>
  <c r="O313" i="1"/>
  <c r="P313" i="1" s="1"/>
  <c r="N313" i="1"/>
  <c r="P312" i="1"/>
  <c r="O312" i="1"/>
  <c r="N312" i="1"/>
  <c r="O311" i="1"/>
  <c r="P311" i="1" s="1"/>
  <c r="N311" i="1"/>
  <c r="O310" i="1"/>
  <c r="P310" i="1" s="1"/>
  <c r="N310" i="1"/>
  <c r="O309" i="1"/>
  <c r="N309" i="1" s="1"/>
  <c r="O308" i="1"/>
  <c r="P308" i="1" s="1"/>
  <c r="N308" i="1"/>
  <c r="O307" i="1"/>
  <c r="N307" i="1" s="1"/>
  <c r="P306" i="1"/>
  <c r="O306" i="1"/>
  <c r="N306" i="1"/>
  <c r="P305" i="1"/>
  <c r="O305" i="1"/>
  <c r="N305" i="1"/>
  <c r="P304" i="1"/>
  <c r="O304" i="1"/>
  <c r="N304" i="1"/>
  <c r="O303" i="1"/>
  <c r="P303" i="1" s="1"/>
  <c r="N303" i="1"/>
  <c r="P302" i="1"/>
  <c r="O302" i="1"/>
  <c r="N302" i="1"/>
  <c r="O301" i="1"/>
  <c r="N301" i="1" s="1"/>
  <c r="O300" i="1"/>
  <c r="P300" i="1" s="1"/>
  <c r="N300" i="1"/>
  <c r="O299" i="1"/>
  <c r="N299" i="1" s="1"/>
  <c r="P298" i="1"/>
  <c r="O298" i="1"/>
  <c r="N298" i="1"/>
  <c r="O297" i="1"/>
  <c r="P297" i="1" s="1"/>
  <c r="N297" i="1"/>
  <c r="P296" i="1"/>
  <c r="O296" i="1"/>
  <c r="N296" i="1"/>
  <c r="O295" i="1"/>
  <c r="P295" i="1" s="1"/>
  <c r="N295" i="1"/>
  <c r="O294" i="1"/>
  <c r="P294" i="1" s="1"/>
  <c r="N294" i="1"/>
  <c r="O293" i="1"/>
  <c r="N293" i="1" s="1"/>
  <c r="O292" i="1"/>
  <c r="P292" i="1" s="1"/>
  <c r="O291" i="1"/>
  <c r="N291" i="1" s="1"/>
  <c r="P290" i="1"/>
  <c r="O290" i="1"/>
  <c r="N290" i="1"/>
  <c r="O289" i="1"/>
  <c r="P289" i="1" s="1"/>
  <c r="P288" i="1"/>
  <c r="O288" i="1"/>
  <c r="N288" i="1"/>
  <c r="O287" i="1"/>
  <c r="P287" i="1" s="1"/>
  <c r="N287" i="1"/>
  <c r="O286" i="1"/>
  <c r="N286" i="1" s="1"/>
  <c r="O285" i="1"/>
  <c r="N285" i="1" s="1"/>
  <c r="O284" i="1"/>
  <c r="P284" i="1" s="1"/>
  <c r="N284" i="1"/>
  <c r="O283" i="1"/>
  <c r="N283" i="1" s="1"/>
  <c r="P282" i="1"/>
  <c r="O282" i="1"/>
  <c r="N282" i="1"/>
  <c r="O281" i="1"/>
  <c r="P281" i="1" s="1"/>
  <c r="N281" i="1"/>
  <c r="P280" i="1"/>
  <c r="O280" i="1"/>
  <c r="N280" i="1"/>
  <c r="O279" i="1"/>
  <c r="P279" i="1" s="1"/>
  <c r="N279" i="1"/>
  <c r="O278" i="1"/>
  <c r="P278" i="1" s="1"/>
  <c r="N278" i="1"/>
  <c r="O277" i="1"/>
  <c r="N277" i="1" s="1"/>
  <c r="O276" i="1"/>
  <c r="P276" i="1" s="1"/>
  <c r="N276" i="1"/>
  <c r="P275" i="1"/>
  <c r="O275" i="1"/>
  <c r="N275" i="1" s="1"/>
  <c r="P274" i="1"/>
  <c r="O274" i="1"/>
  <c r="N274" i="1"/>
  <c r="O273" i="1"/>
  <c r="P273" i="1" s="1"/>
  <c r="N273" i="1"/>
  <c r="P272" i="1"/>
  <c r="O272" i="1"/>
  <c r="N272" i="1"/>
  <c r="O271" i="1"/>
  <c r="P271" i="1" s="1"/>
  <c r="N271" i="1"/>
  <c r="O270" i="1"/>
  <c r="P270" i="1" s="1"/>
  <c r="N270" i="1"/>
  <c r="O269" i="1"/>
  <c r="N269" i="1" s="1"/>
  <c r="O268" i="1"/>
  <c r="P268" i="1" s="1"/>
  <c r="O267" i="1"/>
  <c r="N267" i="1" s="1"/>
  <c r="P266" i="1"/>
  <c r="O266" i="1"/>
  <c r="N266" i="1"/>
  <c r="P265" i="1"/>
  <c r="O265" i="1"/>
  <c r="N265" i="1" s="1"/>
  <c r="P264" i="1"/>
  <c r="O264" i="1"/>
  <c r="N264" i="1"/>
  <c r="O263" i="1"/>
  <c r="P263" i="1" s="1"/>
  <c r="N263" i="1"/>
  <c r="P262" i="1"/>
  <c r="O262" i="1"/>
  <c r="N262" i="1" s="1"/>
  <c r="O261" i="1"/>
  <c r="N261" i="1" s="1"/>
  <c r="O260" i="1"/>
  <c r="P260" i="1" s="1"/>
  <c r="N260" i="1"/>
  <c r="O259" i="1"/>
  <c r="N259" i="1" s="1"/>
  <c r="P258" i="1"/>
  <c r="O258" i="1"/>
  <c r="N258" i="1"/>
  <c r="O257" i="1"/>
  <c r="P257" i="1" s="1"/>
  <c r="N257" i="1"/>
  <c r="P256" i="1"/>
  <c r="O256" i="1"/>
  <c r="N256" i="1"/>
  <c r="O255" i="1"/>
  <c r="P255" i="1" s="1"/>
  <c r="N255" i="1"/>
  <c r="O254" i="1"/>
  <c r="P254" i="1" s="1"/>
  <c r="N254" i="1"/>
  <c r="O253" i="1"/>
  <c r="N253" i="1" s="1"/>
  <c r="O252" i="1"/>
  <c r="P252" i="1" s="1"/>
  <c r="N252" i="1"/>
  <c r="P251" i="1"/>
  <c r="O251" i="1"/>
  <c r="N251" i="1" s="1"/>
  <c r="P250" i="1"/>
  <c r="O250" i="1"/>
  <c r="N250" i="1"/>
  <c r="O249" i="1"/>
  <c r="P249" i="1" s="1"/>
  <c r="N249" i="1"/>
  <c r="P248" i="1"/>
  <c r="O248" i="1"/>
  <c r="N248" i="1" s="1"/>
  <c r="O247" i="1"/>
  <c r="P247" i="1" s="1"/>
  <c r="N247" i="1"/>
  <c r="O246" i="1"/>
  <c r="P246" i="1" s="1"/>
  <c r="N246" i="1"/>
  <c r="O245" i="1"/>
  <c r="N245" i="1" s="1"/>
  <c r="O244" i="1"/>
  <c r="P244" i="1" s="1"/>
  <c r="O243" i="1"/>
  <c r="N243" i="1" s="1"/>
  <c r="P242" i="1"/>
  <c r="O242" i="1"/>
  <c r="N242" i="1"/>
  <c r="P241" i="1"/>
  <c r="O241" i="1"/>
  <c r="N241" i="1" s="1"/>
  <c r="P240" i="1"/>
  <c r="O240" i="1"/>
  <c r="N240" i="1"/>
  <c r="O239" i="1"/>
  <c r="P239" i="1" s="1"/>
  <c r="N239" i="1"/>
  <c r="P238" i="1"/>
  <c r="O238" i="1"/>
  <c r="N238" i="1" s="1"/>
  <c r="O237" i="1"/>
  <c r="N237" i="1" s="1"/>
  <c r="O236" i="1"/>
  <c r="P236" i="1" s="1"/>
  <c r="N236" i="1"/>
  <c r="O235" i="1"/>
  <c r="N235" i="1" s="1"/>
  <c r="P234" i="1"/>
  <c r="O234" i="1"/>
  <c r="N234" i="1"/>
  <c r="O233" i="1"/>
  <c r="P233" i="1" s="1"/>
  <c r="N233" i="1"/>
  <c r="P232" i="1"/>
  <c r="O232" i="1"/>
  <c r="N232" i="1"/>
  <c r="O231" i="1"/>
  <c r="P231" i="1" s="1"/>
  <c r="N231" i="1"/>
  <c r="O230" i="1"/>
  <c r="P230" i="1" s="1"/>
  <c r="N230" i="1"/>
  <c r="O229" i="1"/>
  <c r="N229" i="1" s="1"/>
  <c r="O228" i="1"/>
  <c r="P228" i="1" s="1"/>
  <c r="N228" i="1"/>
  <c r="P227" i="1"/>
  <c r="O227" i="1"/>
  <c r="N227" i="1" s="1"/>
  <c r="P226" i="1"/>
  <c r="O226" i="1"/>
  <c r="N226" i="1"/>
  <c r="O225" i="1"/>
  <c r="P225" i="1" s="1"/>
  <c r="N225" i="1"/>
  <c r="P224" i="1"/>
  <c r="O224" i="1"/>
  <c r="N224" i="1"/>
  <c r="O223" i="1"/>
  <c r="P223" i="1" s="1"/>
  <c r="N223" i="1"/>
  <c r="O222" i="1"/>
  <c r="P222" i="1" s="1"/>
  <c r="N222" i="1"/>
  <c r="O221" i="1"/>
  <c r="N221" i="1" s="1"/>
  <c r="O220" i="1"/>
  <c r="P220" i="1" s="1"/>
  <c r="N220" i="1"/>
  <c r="O219" i="1"/>
  <c r="N219" i="1" s="1"/>
  <c r="P218" i="1"/>
  <c r="O218" i="1"/>
  <c r="N218" i="1"/>
  <c r="P217" i="1"/>
  <c r="O217" i="1"/>
  <c r="N217" i="1"/>
  <c r="P216" i="1"/>
  <c r="O216" i="1"/>
  <c r="N216" i="1" s="1"/>
  <c r="O215" i="1"/>
  <c r="P215" i="1" s="1"/>
  <c r="N215" i="1"/>
  <c r="P214" i="1"/>
  <c r="O214" i="1"/>
  <c r="N214" i="1" s="1"/>
  <c r="P213" i="1"/>
  <c r="O213" i="1"/>
  <c r="N213" i="1" s="1"/>
  <c r="O212" i="1"/>
  <c r="P212" i="1" s="1"/>
  <c r="N212" i="1"/>
  <c r="O211" i="1"/>
  <c r="N211" i="1" s="1"/>
  <c r="P210" i="1"/>
  <c r="O210" i="1"/>
  <c r="N210" i="1"/>
  <c r="O209" i="1"/>
  <c r="P209" i="1" s="1"/>
  <c r="N209" i="1"/>
  <c r="P208" i="1"/>
  <c r="O208" i="1"/>
  <c r="N208" i="1" s="1"/>
  <c r="O207" i="1"/>
  <c r="P207" i="1" s="1"/>
  <c r="N207" i="1"/>
  <c r="O206" i="1"/>
  <c r="P206" i="1" s="1"/>
  <c r="N206" i="1"/>
  <c r="P205" i="1"/>
  <c r="O205" i="1"/>
  <c r="N205" i="1" s="1"/>
  <c r="O204" i="1"/>
  <c r="P204" i="1" s="1"/>
  <c r="O203" i="1"/>
  <c r="N203" i="1" s="1"/>
  <c r="P202" i="1"/>
  <c r="O202" i="1"/>
  <c r="N202" i="1"/>
  <c r="O201" i="1"/>
  <c r="P201" i="1" s="1"/>
  <c r="P200" i="1"/>
  <c r="O200" i="1"/>
  <c r="N200" i="1" s="1"/>
  <c r="O199" i="1"/>
  <c r="P199" i="1" s="1"/>
  <c r="N199" i="1"/>
  <c r="O198" i="1"/>
  <c r="P198" i="1" s="1"/>
  <c r="N198" i="1"/>
  <c r="P197" i="1"/>
  <c r="O197" i="1"/>
  <c r="N197" i="1" s="1"/>
  <c r="O196" i="1"/>
  <c r="P196" i="1" s="1"/>
  <c r="O195" i="1"/>
  <c r="N195" i="1" s="1"/>
  <c r="P194" i="1"/>
  <c r="O194" i="1"/>
  <c r="N194" i="1"/>
  <c r="O193" i="1"/>
  <c r="P193" i="1" s="1"/>
  <c r="P192" i="1"/>
  <c r="O192" i="1"/>
  <c r="N192" i="1" s="1"/>
  <c r="O191" i="1"/>
  <c r="P191" i="1" s="1"/>
  <c r="N191" i="1"/>
  <c r="P190" i="1"/>
  <c r="O190" i="1"/>
  <c r="N190" i="1"/>
  <c r="O189" i="1"/>
  <c r="N189" i="1" s="1"/>
  <c r="O188" i="1"/>
  <c r="P188" i="1" s="1"/>
  <c r="N188" i="1"/>
  <c r="O187" i="1"/>
  <c r="N187" i="1" s="1"/>
  <c r="P186" i="1"/>
  <c r="O186" i="1"/>
  <c r="N186" i="1"/>
  <c r="O185" i="1"/>
  <c r="P185" i="1" s="1"/>
  <c r="N185" i="1"/>
  <c r="P184" i="1"/>
  <c r="O184" i="1"/>
  <c r="N184" i="1"/>
  <c r="O183" i="1"/>
  <c r="P183" i="1" s="1"/>
  <c r="N183" i="1"/>
  <c r="O182" i="1"/>
  <c r="P182" i="1" s="1"/>
  <c r="N182" i="1"/>
  <c r="O181" i="1"/>
  <c r="N181" i="1" s="1"/>
  <c r="O180" i="1"/>
  <c r="P180" i="1" s="1"/>
  <c r="O179" i="1"/>
  <c r="N179" i="1" s="1"/>
  <c r="P178" i="1"/>
  <c r="O178" i="1"/>
  <c r="N178" i="1"/>
  <c r="O177" i="1"/>
  <c r="P177" i="1" s="1"/>
  <c r="P176" i="1"/>
  <c r="O176" i="1"/>
  <c r="N176" i="1"/>
  <c r="O175" i="1"/>
  <c r="P175" i="1" s="1"/>
  <c r="N175" i="1"/>
  <c r="O174" i="1"/>
  <c r="N174" i="1" s="1"/>
  <c r="O173" i="1"/>
  <c r="N173" i="1" s="1"/>
  <c r="O172" i="1"/>
  <c r="P172" i="1" s="1"/>
  <c r="O171" i="1"/>
  <c r="N171" i="1" s="1"/>
  <c r="P170" i="1"/>
  <c r="O170" i="1"/>
  <c r="N170" i="1"/>
  <c r="O169" i="1"/>
  <c r="P169" i="1" s="1"/>
  <c r="P168" i="1"/>
  <c r="O168" i="1"/>
  <c r="N168" i="1" s="1"/>
  <c r="O167" i="1"/>
  <c r="P167" i="1" s="1"/>
  <c r="N167" i="1"/>
  <c r="P166" i="1"/>
  <c r="O166" i="1"/>
  <c r="N166" i="1"/>
  <c r="P165" i="1"/>
  <c r="O165" i="1"/>
  <c r="N165" i="1" s="1"/>
  <c r="O164" i="1"/>
  <c r="P164" i="1" s="1"/>
  <c r="N164" i="1"/>
  <c r="P163" i="1"/>
  <c r="O163" i="1"/>
  <c r="N163" i="1" s="1"/>
  <c r="P162" i="1"/>
  <c r="O162" i="1"/>
  <c r="N162" i="1"/>
  <c r="O161" i="1"/>
  <c r="P161" i="1" s="1"/>
  <c r="N161" i="1"/>
  <c r="P160" i="1"/>
  <c r="O160" i="1"/>
  <c r="N160" i="1" s="1"/>
  <c r="O159" i="1"/>
  <c r="P159" i="1" s="1"/>
  <c r="N159" i="1"/>
  <c r="O158" i="1"/>
  <c r="P158" i="1" s="1"/>
  <c r="N158" i="1"/>
  <c r="P157" i="1"/>
  <c r="O157" i="1"/>
  <c r="N157" i="1" s="1"/>
  <c r="O156" i="1"/>
  <c r="P156" i="1" s="1"/>
  <c r="P155" i="1"/>
  <c r="O155" i="1"/>
  <c r="N155" i="1" s="1"/>
  <c r="P154" i="1"/>
  <c r="O154" i="1"/>
  <c r="N154" i="1"/>
  <c r="P153" i="1"/>
  <c r="O153" i="1"/>
  <c r="N153" i="1" s="1"/>
  <c r="P152" i="1"/>
  <c r="O152" i="1"/>
  <c r="N152" i="1" s="1"/>
  <c r="O151" i="1"/>
  <c r="P151" i="1" s="1"/>
  <c r="N151" i="1"/>
  <c r="O150" i="1"/>
  <c r="P150" i="1" s="1"/>
  <c r="O149" i="1"/>
  <c r="N149" i="1" s="1"/>
  <c r="O148" i="1"/>
  <c r="P148" i="1" s="1"/>
  <c r="N148" i="1"/>
  <c r="O147" i="1"/>
  <c r="N147" i="1" s="1"/>
  <c r="P146" i="1"/>
  <c r="O146" i="1"/>
  <c r="N146" i="1"/>
  <c r="O145" i="1"/>
  <c r="P145" i="1" s="1"/>
  <c r="N145" i="1"/>
  <c r="P144" i="1"/>
  <c r="O144" i="1"/>
  <c r="N144" i="1" s="1"/>
  <c r="O143" i="1"/>
  <c r="P143" i="1" s="1"/>
  <c r="O142" i="1"/>
  <c r="P142" i="1" s="1"/>
  <c r="N142" i="1"/>
  <c r="P141" i="1"/>
  <c r="O141" i="1"/>
  <c r="N141" i="1" s="1"/>
  <c r="O140" i="1"/>
  <c r="P140" i="1" s="1"/>
  <c r="O139" i="1"/>
  <c r="N139" i="1" s="1"/>
  <c r="P138" i="1"/>
  <c r="O138" i="1"/>
  <c r="N138" i="1"/>
  <c r="P137" i="1"/>
  <c r="O137" i="1"/>
  <c r="N137" i="1"/>
  <c r="O136" i="1"/>
  <c r="P136" i="1" s="1"/>
  <c r="N136" i="1"/>
  <c r="O135" i="1"/>
  <c r="P135" i="1" s="1"/>
  <c r="P134" i="1"/>
  <c r="O134" i="1"/>
  <c r="N134" i="1"/>
  <c r="O133" i="1"/>
  <c r="N133" i="1" s="1"/>
  <c r="P132" i="1"/>
  <c r="O132" i="1"/>
  <c r="N132" i="1" s="1"/>
  <c r="P131" i="1"/>
  <c r="O131" i="1"/>
  <c r="N131" i="1"/>
  <c r="P130" i="1"/>
  <c r="O130" i="1"/>
  <c r="N130" i="1"/>
  <c r="P129" i="1"/>
  <c r="O129" i="1"/>
  <c r="N129" i="1"/>
  <c r="O128" i="1"/>
  <c r="P128" i="1" s="1"/>
  <c r="N128" i="1"/>
  <c r="O127" i="1"/>
  <c r="P127" i="1" s="1"/>
  <c r="N127" i="1"/>
  <c r="P126" i="1"/>
  <c r="O126" i="1"/>
  <c r="N126" i="1"/>
  <c r="O125" i="1"/>
  <c r="N125" i="1" s="1"/>
  <c r="O124" i="1"/>
  <c r="P124" i="1" s="1"/>
  <c r="N124" i="1"/>
  <c r="P123" i="1"/>
  <c r="O123" i="1"/>
  <c r="N123" i="1"/>
  <c r="P122" i="1"/>
  <c r="O122" i="1"/>
  <c r="N122" i="1"/>
  <c r="O121" i="1"/>
  <c r="N121" i="1" s="1"/>
  <c r="O120" i="1"/>
  <c r="P120" i="1" s="1"/>
  <c r="N120" i="1"/>
  <c r="O119" i="1"/>
  <c r="P119" i="1" s="1"/>
  <c r="N119" i="1"/>
  <c r="O118" i="1"/>
  <c r="P118" i="1" s="1"/>
  <c r="O117" i="1"/>
  <c r="N117" i="1" s="1"/>
  <c r="O116" i="1"/>
  <c r="P116" i="1" s="1"/>
  <c r="N116" i="1"/>
  <c r="O115" i="1"/>
  <c r="P115" i="1" s="1"/>
  <c r="P114" i="1"/>
  <c r="O114" i="1"/>
  <c r="N114" i="1"/>
  <c r="O113" i="1"/>
  <c r="P113" i="1" s="1"/>
  <c r="N113" i="1"/>
  <c r="P112" i="1"/>
  <c r="O112" i="1"/>
  <c r="N112" i="1" s="1"/>
  <c r="O111" i="1"/>
  <c r="P111" i="1" s="1"/>
  <c r="O110" i="1"/>
  <c r="P110" i="1" s="1"/>
  <c r="N110" i="1"/>
  <c r="P109" i="1"/>
  <c r="O109" i="1"/>
  <c r="N109" i="1" s="1"/>
  <c r="O108" i="1"/>
  <c r="P108" i="1" s="1"/>
  <c r="O107" i="1"/>
  <c r="P107" i="1" s="1"/>
  <c r="N107" i="1"/>
  <c r="P106" i="1"/>
  <c r="O106" i="1"/>
  <c r="N106" i="1"/>
  <c r="P105" i="1"/>
  <c r="O105" i="1"/>
  <c r="N105" i="1"/>
  <c r="O104" i="1"/>
  <c r="P104" i="1" s="1"/>
  <c r="N104" i="1"/>
  <c r="O103" i="1"/>
  <c r="P103" i="1" s="1"/>
  <c r="P102" i="1"/>
  <c r="O102" i="1"/>
  <c r="N102" i="1"/>
  <c r="O101" i="1"/>
  <c r="N101" i="1" s="1"/>
  <c r="P100" i="1"/>
  <c r="O100" i="1"/>
  <c r="N100" i="1" s="1"/>
  <c r="P99" i="1"/>
  <c r="O99" i="1"/>
  <c r="N99" i="1"/>
  <c r="P98" i="1"/>
  <c r="O98" i="1"/>
  <c r="N98" i="1"/>
  <c r="P97" i="1"/>
  <c r="O97" i="1"/>
  <c r="N97" i="1"/>
  <c r="O96" i="1"/>
  <c r="P96" i="1" s="1"/>
  <c r="N96" i="1"/>
  <c r="O95" i="1"/>
  <c r="P95" i="1" s="1"/>
  <c r="N95" i="1"/>
  <c r="P94" i="1"/>
  <c r="O94" i="1"/>
  <c r="N94" i="1"/>
  <c r="O93" i="1"/>
  <c r="N93" i="1" s="1"/>
  <c r="O92" i="1"/>
  <c r="P92" i="1" s="1"/>
  <c r="N92" i="1"/>
  <c r="P91" i="1"/>
  <c r="O91" i="1"/>
  <c r="N91" i="1"/>
  <c r="P90" i="1"/>
  <c r="O90" i="1"/>
  <c r="N90" i="1"/>
  <c r="O89" i="1"/>
  <c r="P89" i="1" s="1"/>
  <c r="O88" i="1"/>
  <c r="P88" i="1" s="1"/>
  <c r="N88" i="1"/>
  <c r="O87" i="1"/>
  <c r="P87" i="1" s="1"/>
  <c r="N87" i="1"/>
  <c r="O86" i="1"/>
  <c r="P86" i="1" s="1"/>
  <c r="O85" i="1"/>
  <c r="N85" i="1" s="1"/>
  <c r="O84" i="1"/>
  <c r="P84" i="1" s="1"/>
  <c r="N84" i="1"/>
  <c r="O83" i="1"/>
  <c r="P83" i="1" s="1"/>
  <c r="P82" i="1"/>
  <c r="O82" i="1"/>
  <c r="N82" i="1"/>
  <c r="O81" i="1"/>
  <c r="P81" i="1" s="1"/>
  <c r="N81" i="1"/>
  <c r="P80" i="1"/>
  <c r="O80" i="1"/>
  <c r="N80" i="1" s="1"/>
  <c r="O79" i="1"/>
  <c r="P79" i="1" s="1"/>
  <c r="O78" i="1"/>
  <c r="P78" i="1" s="1"/>
  <c r="N78" i="1"/>
  <c r="P77" i="1"/>
  <c r="O77" i="1"/>
  <c r="N77" i="1" s="1"/>
  <c r="O76" i="1"/>
  <c r="P76" i="1" s="1"/>
  <c r="O75" i="1"/>
  <c r="P75" i="1" s="1"/>
  <c r="N75" i="1"/>
  <c r="P74" i="1"/>
  <c r="O74" i="1"/>
  <c r="N74" i="1"/>
  <c r="P73" i="1"/>
  <c r="O73" i="1"/>
  <c r="N73" i="1"/>
  <c r="O72" i="1"/>
  <c r="P72" i="1" s="1"/>
  <c r="N72" i="1"/>
  <c r="O71" i="1"/>
  <c r="P71" i="1" s="1"/>
  <c r="P70" i="1"/>
  <c r="O70" i="1"/>
  <c r="N70" i="1"/>
  <c r="O69" i="1"/>
  <c r="N69" i="1" s="1"/>
  <c r="P68" i="1"/>
  <c r="O68" i="1"/>
  <c r="N68" i="1" s="1"/>
  <c r="P67" i="1"/>
  <c r="O67" i="1"/>
  <c r="N67" i="1"/>
  <c r="P66" i="1"/>
  <c r="O66" i="1"/>
  <c r="N66" i="1"/>
  <c r="P65" i="1"/>
  <c r="O65" i="1"/>
  <c r="N65" i="1"/>
  <c r="O64" i="1"/>
  <c r="P64" i="1" s="1"/>
  <c r="N64" i="1"/>
  <c r="O63" i="1"/>
  <c r="P63" i="1" s="1"/>
  <c r="N63" i="1"/>
  <c r="P62" i="1"/>
  <c r="O62" i="1"/>
  <c r="N62" i="1"/>
  <c r="O61" i="1"/>
  <c r="N61" i="1" s="1"/>
  <c r="O60" i="1"/>
  <c r="P60" i="1" s="1"/>
  <c r="N60" i="1"/>
  <c r="P59" i="1"/>
  <c r="O59" i="1"/>
  <c r="N59" i="1"/>
  <c r="P58" i="1"/>
  <c r="O58" i="1"/>
  <c r="N58" i="1"/>
  <c r="O57" i="1"/>
  <c r="P57" i="1" s="1"/>
  <c r="O56" i="1"/>
  <c r="P56" i="1" s="1"/>
  <c r="N56" i="1"/>
  <c r="O55" i="1"/>
  <c r="P55" i="1" s="1"/>
  <c r="N55" i="1"/>
  <c r="O54" i="1"/>
  <c r="N54" i="1" s="1"/>
  <c r="O53" i="1"/>
  <c r="N53" i="1" s="1"/>
  <c r="O52" i="1"/>
  <c r="P52" i="1" s="1"/>
  <c r="N52" i="1"/>
  <c r="O51" i="1"/>
  <c r="P51" i="1" s="1"/>
  <c r="P50" i="1"/>
  <c r="O50" i="1"/>
  <c r="N50" i="1"/>
  <c r="O49" i="1"/>
  <c r="P49" i="1" s="1"/>
  <c r="N49" i="1"/>
  <c r="P48" i="1"/>
  <c r="O48" i="1"/>
  <c r="N48" i="1" s="1"/>
  <c r="O47" i="1"/>
  <c r="P47" i="1" s="1"/>
  <c r="N47" i="1"/>
  <c r="O46" i="1"/>
  <c r="P46" i="1" s="1"/>
  <c r="N46" i="1"/>
  <c r="P45" i="1"/>
  <c r="O45" i="1"/>
  <c r="N45" i="1" s="1"/>
  <c r="O44" i="1"/>
  <c r="P44" i="1" s="1"/>
  <c r="N44" i="1"/>
  <c r="O43" i="1"/>
  <c r="P43" i="1" s="1"/>
  <c r="N43" i="1"/>
  <c r="P42" i="1"/>
  <c r="O42" i="1"/>
  <c r="N42" i="1"/>
  <c r="O41" i="1"/>
  <c r="P41" i="1" s="1"/>
  <c r="N41" i="1"/>
  <c r="O40" i="1"/>
  <c r="P40" i="1" s="1"/>
  <c r="N40" i="1"/>
  <c r="O39" i="1"/>
  <c r="P39" i="1" s="1"/>
  <c r="O38" i="1"/>
  <c r="P38" i="1" s="1"/>
  <c r="N38" i="1"/>
  <c r="O37" i="1"/>
  <c r="N37" i="1" s="1"/>
  <c r="P36" i="1"/>
  <c r="O36" i="1"/>
  <c r="N36" i="1" s="1"/>
  <c r="O35" i="1"/>
  <c r="P35" i="1" s="1"/>
  <c r="N35" i="1"/>
  <c r="P34" i="1"/>
  <c r="O34" i="1"/>
  <c r="N34" i="1"/>
  <c r="P33" i="1"/>
  <c r="O33" i="1"/>
  <c r="N33" i="1"/>
  <c r="O32" i="1"/>
  <c r="P32" i="1" s="1"/>
  <c r="N32" i="1"/>
  <c r="O31" i="1"/>
  <c r="P31" i="1" s="1"/>
  <c r="N31" i="1"/>
  <c r="P30" i="1"/>
  <c r="O30" i="1"/>
  <c r="N30" i="1"/>
  <c r="O29" i="1"/>
  <c r="N29" i="1" s="1"/>
  <c r="O28" i="1"/>
  <c r="P28" i="1" s="1"/>
  <c r="N28" i="1"/>
  <c r="P27" i="1"/>
  <c r="O27" i="1"/>
  <c r="N27" i="1"/>
  <c r="P26" i="1"/>
  <c r="O26" i="1"/>
  <c r="N26" i="1"/>
  <c r="O25" i="1"/>
  <c r="P25" i="1" s="1"/>
  <c r="O24" i="1"/>
  <c r="P24" i="1" s="1"/>
  <c r="N24" i="1"/>
  <c r="O23" i="1"/>
  <c r="P23" i="1" s="1"/>
  <c r="N23" i="1"/>
  <c r="O22" i="1"/>
  <c r="N22" i="1" s="1"/>
  <c r="O21" i="1"/>
  <c r="P21" i="1" s="1"/>
  <c r="N21" i="1"/>
  <c r="O20" i="1"/>
  <c r="P20" i="1" s="1"/>
  <c r="N20" i="1"/>
  <c r="P19" i="1"/>
  <c r="O19" i="1"/>
  <c r="N19" i="1" s="1"/>
  <c r="O18" i="1"/>
  <c r="P18" i="1" s="1"/>
  <c r="N18" i="1"/>
  <c r="O17" i="1"/>
  <c r="P17" i="1" s="1"/>
  <c r="N17" i="1"/>
  <c r="P16" i="1"/>
  <c r="O16" i="1"/>
  <c r="N16" i="1"/>
  <c r="O15" i="1"/>
  <c r="P15" i="1" s="1"/>
  <c r="N15" i="1"/>
  <c r="O14" i="1"/>
  <c r="P14" i="1" s="1"/>
  <c r="O13" i="1"/>
  <c r="P13" i="1" s="1"/>
  <c r="O12" i="1"/>
  <c r="P12" i="1" s="1"/>
  <c r="N12" i="1"/>
  <c r="P11" i="1"/>
  <c r="O11" i="1"/>
  <c r="N11" i="1" s="1"/>
  <c r="O10" i="1"/>
  <c r="P10" i="1" s="1"/>
  <c r="N10" i="1"/>
  <c r="O9" i="1"/>
  <c r="P9" i="1" s="1"/>
  <c r="N9" i="1"/>
  <c r="P8" i="1"/>
  <c r="O8" i="1"/>
  <c r="N8" i="1"/>
  <c r="O7" i="1"/>
  <c r="P7" i="1" s="1"/>
  <c r="N7" i="1"/>
  <c r="O6" i="1"/>
  <c r="P6" i="1" s="1"/>
  <c r="O5" i="1"/>
  <c r="P5" i="1" s="1"/>
  <c r="N5" i="1"/>
  <c r="O4" i="1"/>
  <c r="P4" i="1" s="1"/>
  <c r="N4" i="1"/>
  <c r="P3" i="1"/>
  <c r="O3" i="1"/>
  <c r="N3" i="1" s="1"/>
  <c r="O2" i="1"/>
  <c r="P2" i="1" s="1"/>
  <c r="N2" i="1"/>
  <c r="P22" i="1" l="1"/>
  <c r="P360" i="1" s="1"/>
  <c r="S1" i="1" s="1"/>
  <c r="U1" i="1" s="1"/>
  <c r="P54" i="1"/>
  <c r="P121" i="1"/>
  <c r="P147" i="1"/>
  <c r="P174" i="1"/>
  <c r="P286" i="1"/>
  <c r="P37" i="1"/>
  <c r="P139" i="1"/>
  <c r="P171" i="1"/>
  <c r="P195" i="1"/>
  <c r="P347" i="1"/>
  <c r="N6" i="1"/>
  <c r="N14" i="1"/>
  <c r="N25" i="1"/>
  <c r="N51" i="1"/>
  <c r="N57" i="1"/>
  <c r="N83" i="1"/>
  <c r="N86" i="1"/>
  <c r="N89" i="1"/>
  <c r="N115" i="1"/>
  <c r="N118" i="1"/>
  <c r="N150" i="1"/>
  <c r="N177" i="1"/>
  <c r="N180" i="1"/>
  <c r="N201" i="1"/>
  <c r="N204" i="1"/>
  <c r="N289" i="1"/>
  <c r="N292" i="1"/>
  <c r="N350" i="1"/>
  <c r="N353" i="1"/>
  <c r="N356" i="1"/>
  <c r="P211" i="1"/>
  <c r="P299" i="1"/>
  <c r="P101" i="1"/>
  <c r="P259" i="1"/>
  <c r="N13" i="1"/>
  <c r="P29" i="1"/>
  <c r="P61" i="1"/>
  <c r="N76" i="1"/>
  <c r="N79" i="1"/>
  <c r="P93" i="1"/>
  <c r="N108" i="1"/>
  <c r="N111" i="1"/>
  <c r="P125" i="1"/>
  <c r="N140" i="1"/>
  <c r="N143" i="1"/>
  <c r="N169" i="1"/>
  <c r="N172" i="1"/>
  <c r="N193" i="1"/>
  <c r="N196" i="1"/>
  <c r="P219" i="1"/>
  <c r="P307" i="1"/>
  <c r="P187" i="1"/>
  <c r="P69" i="1"/>
  <c r="P133" i="1"/>
  <c r="P243" i="1"/>
  <c r="P267" i="1"/>
  <c r="P331" i="1"/>
  <c r="P235" i="1"/>
  <c r="P323" i="1"/>
  <c r="P283" i="1"/>
  <c r="N39" i="1"/>
  <c r="P53" i="1"/>
  <c r="N71" i="1"/>
  <c r="P85" i="1"/>
  <c r="N103" i="1"/>
  <c r="P117" i="1"/>
  <c r="N135" i="1"/>
  <c r="P149" i="1"/>
  <c r="N156" i="1"/>
  <c r="P179" i="1"/>
  <c r="P203" i="1"/>
  <c r="N244" i="1"/>
  <c r="N268" i="1"/>
  <c r="P291" i="1"/>
  <c r="N332" i="1"/>
  <c r="P355" i="1"/>
  <c r="P173" i="1"/>
  <c r="P181" i="1"/>
  <c r="P189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41" i="1"/>
  <c r="P349" i="1"/>
  <c r="P357" i="1"/>
</calcChain>
</file>

<file path=xl/sharedStrings.xml><?xml version="1.0" encoding="utf-8"?>
<sst xmlns="http://schemas.openxmlformats.org/spreadsheetml/2006/main" count="1637" uniqueCount="1142">
  <si>
    <t>7y</t>
  </si>
  <si>
    <t>NOME</t>
  </si>
  <si>
    <t>TELEFONE CASA</t>
  </si>
  <si>
    <t>TELEFONE COMERCIAL</t>
  </si>
  <si>
    <t>TELEFONE CELULAR</t>
  </si>
  <si>
    <t>DATA DE NASCIMENTO</t>
  </si>
  <si>
    <t>EMAIL</t>
  </si>
  <si>
    <t>SEGURADORA</t>
  </si>
  <si>
    <t>PRODUTO</t>
  </si>
  <si>
    <t>VENCIMENTO APÓLICE</t>
  </si>
  <si>
    <t>CPF/ CNPJ</t>
  </si>
  <si>
    <t>PLACA</t>
  </si>
  <si>
    <t>PREMIO TOTAL</t>
  </si>
  <si>
    <t>IOF</t>
  </si>
  <si>
    <t>PREMIO LIQUIDO</t>
  </si>
  <si>
    <t>COMISSÃO</t>
  </si>
  <si>
    <t>TOTAL COMISSÃO ANUAL</t>
  </si>
  <si>
    <t>MEDIA COMISSÃO MENSAL</t>
  </si>
  <si>
    <t>Margarete de Fatima Perez Figueiredo</t>
  </si>
  <si>
    <t>41 32562374</t>
  </si>
  <si>
    <t>41 999674742</t>
  </si>
  <si>
    <t>margarete.planos@gmail.com</t>
  </si>
  <si>
    <t>HDI</t>
  </si>
  <si>
    <t>522.528.419-15</t>
  </si>
  <si>
    <t>BBD5594</t>
  </si>
  <si>
    <t>Leonardo Avila de Mattos</t>
  </si>
  <si>
    <t>41 996812753</t>
  </si>
  <si>
    <t>leonardoavilademattos@gmail.com</t>
  </si>
  <si>
    <t>TOKIO MARINE</t>
  </si>
  <si>
    <t>052.709.999-60</t>
  </si>
  <si>
    <t>SXQ9I92</t>
  </si>
  <si>
    <t>Paulo Cesar De Andrade (Moto) BMW GS</t>
  </si>
  <si>
    <t>41 998897511</t>
  </si>
  <si>
    <t>paulo.cesar.andrade@gmail.com</t>
  </si>
  <si>
    <t>SUHAI</t>
  </si>
  <si>
    <t>676.085.589-20</t>
  </si>
  <si>
    <t>AQA5J51</t>
  </si>
  <si>
    <t>Evaldo Krulikowski</t>
  </si>
  <si>
    <t>45 999939695</t>
  </si>
  <si>
    <t>fe_0@hotmail.com</t>
  </si>
  <si>
    <t xml:space="preserve">ALLIANZ </t>
  </si>
  <si>
    <t>369.420.229-34</t>
  </si>
  <si>
    <t>SEH7C06</t>
  </si>
  <si>
    <t>Alexandre Moreira Vieira (esposo Ariane ind. Eva)</t>
  </si>
  <si>
    <t>41 991422805</t>
  </si>
  <si>
    <t>alexmvieiraspfc@gmail.com</t>
  </si>
  <si>
    <t>YELUM</t>
  </si>
  <si>
    <t>058.471.269-30</t>
  </si>
  <si>
    <t>RTM6D07</t>
  </si>
  <si>
    <t>R H Corretagem De Imoveis Ltda (Acram e bruno empresarial)</t>
  </si>
  <si>
    <t>48 988210046</t>
  </si>
  <si>
    <t>dreamonii@remax.com.br</t>
  </si>
  <si>
    <t>48.010.825/0001-13</t>
  </si>
  <si>
    <t>EMPRESARIAL</t>
  </si>
  <si>
    <t>Marcelo Fossatti Representações De Auto peças</t>
  </si>
  <si>
    <t>41 9 99432238</t>
  </si>
  <si>
    <t>mfrepr@gmail.com</t>
  </si>
  <si>
    <t>EZZE</t>
  </si>
  <si>
    <t>06.203.067/0001-00</t>
  </si>
  <si>
    <t>FLZ1I34</t>
  </si>
  <si>
    <t>Ariane Ferrari Da Cruz Vieira ( Ind. Eva Duarte)</t>
  </si>
  <si>
    <t>41 998197510</t>
  </si>
  <si>
    <t>ariferraricruz@gmail.com</t>
  </si>
  <si>
    <t>041.993.259-30</t>
  </si>
  <si>
    <t>BAJ1530</t>
  </si>
  <si>
    <t>Condominio Edificio San Thiago (Sindico Clayton)</t>
  </si>
  <si>
    <t>41 997772735</t>
  </si>
  <si>
    <t>edificiosanthiago430@gmail.com</t>
  </si>
  <si>
    <t>73.964.769/0001-01</t>
  </si>
  <si>
    <t>CONDOMINIO</t>
  </si>
  <si>
    <t>Maria Luzia Gomes Rodrigues</t>
  </si>
  <si>
    <t>21 998922993</t>
  </si>
  <si>
    <t>mluzia_rodrigues@hotmail.com</t>
  </si>
  <si>
    <t>260.203.197-68</t>
  </si>
  <si>
    <t>RESIDENCIAL</t>
  </si>
  <si>
    <t>Maria Luzia Gomes Rodrigues (Raquel Condutora)</t>
  </si>
  <si>
    <t>41 992920090</t>
  </si>
  <si>
    <t>kell_ar@hotmail.com</t>
  </si>
  <si>
    <t>RHX6H17</t>
  </si>
  <si>
    <t>Pizzaria Mister Giuseppe (Empresarial Afonso Pena)</t>
  </si>
  <si>
    <t>41 998568490</t>
  </si>
  <si>
    <t>renatoalves_19@yahoo.com.br</t>
  </si>
  <si>
    <t>54.003.643/0001-18</t>
  </si>
  <si>
    <t>Francisco Jose prestes Pereira (Chiquinho Guabirotuba)</t>
  </si>
  <si>
    <t>41 991352580</t>
  </si>
  <si>
    <t>germanica@yahoo.com.br</t>
  </si>
  <si>
    <t>522.281.779-20</t>
  </si>
  <si>
    <t>Condominio Edificio Moradas D Ampezzo (Monica Saideira)</t>
  </si>
  <si>
    <t>41 30185436</t>
  </si>
  <si>
    <t>41 992355987</t>
  </si>
  <si>
    <t>monicacuca@hotmail.com</t>
  </si>
  <si>
    <t>03.676.149/0001-83</t>
  </si>
  <si>
    <r>
      <t xml:space="preserve">Karianny Tolentino Sabatini (esposa Sabatini) </t>
    </r>
    <r>
      <rPr>
        <sz val="10"/>
        <color rgb="FFFF0000"/>
        <rFont val="Arial"/>
        <family val="2"/>
      </rPr>
      <t xml:space="preserve">com 18 a 25 anos </t>
    </r>
  </si>
  <si>
    <t>41 30226762</t>
  </si>
  <si>
    <t>41 991864640</t>
  </si>
  <si>
    <t>sabatinicartuchos@gmail.com</t>
  </si>
  <si>
    <t>030.924.899-00</t>
  </si>
  <si>
    <t>AZL6245</t>
  </si>
  <si>
    <t>Jie Lu (Ind Andre Primo) Jorge</t>
  </si>
  <si>
    <t>43 991222346</t>
  </si>
  <si>
    <t>jorge@betachem-china.com</t>
  </si>
  <si>
    <t>AZUL</t>
  </si>
  <si>
    <t>122.161.991-84</t>
  </si>
  <si>
    <t>AZR2803</t>
  </si>
  <si>
    <t>Silvia Renata da Costa</t>
  </si>
  <si>
    <t>43 999067401</t>
  </si>
  <si>
    <t>silvia@lacostacorretora.com.br</t>
  </si>
  <si>
    <t>808.339.699-00</t>
  </si>
  <si>
    <t>FCP7G39</t>
  </si>
  <si>
    <t>Acram Said Rajab (Moto)</t>
  </si>
  <si>
    <t>48 998260990</t>
  </si>
  <si>
    <t>acramrajab@gmail.com</t>
  </si>
  <si>
    <t>942.264.310-49</t>
  </si>
  <si>
    <t>QJL1G71</t>
  </si>
  <si>
    <t>Reginaldo Mateus Latch (esposo dominga)</t>
  </si>
  <si>
    <t>41 99731-7942</t>
  </si>
  <si>
    <t>latohreginaldo@gmail.com</t>
  </si>
  <si>
    <t>477.867.369-72</t>
  </si>
  <si>
    <t>MCY8129</t>
  </si>
  <si>
    <t>Heloisa Helena Pacheco (esposa Alexandre Sarda)(Versa)</t>
  </si>
  <si>
    <t>41 999197490</t>
  </si>
  <si>
    <t>apsarda@hotmail.com</t>
  </si>
  <si>
    <t>874.332.909-82</t>
  </si>
  <si>
    <t>ABJ6C30</t>
  </si>
  <si>
    <t>Rodrigo Starepravo (Rodrigo Mecanico Caveira)</t>
  </si>
  <si>
    <t>41 998039042</t>
  </si>
  <si>
    <t>rodricaveira@hotmail.com</t>
  </si>
  <si>
    <t>029.458.689-03</t>
  </si>
  <si>
    <t>MKC5H46</t>
  </si>
  <si>
    <t>Juliana Akemi Kotaka</t>
  </si>
  <si>
    <t>41 3023 3472</t>
  </si>
  <si>
    <t>41 988945286</t>
  </si>
  <si>
    <t>julianakotaka@gmail.com</t>
  </si>
  <si>
    <t>ALLIANZ</t>
  </si>
  <si>
    <t>058.687.769-09</t>
  </si>
  <si>
    <t>BBR9803</t>
  </si>
  <si>
    <t>Dancold Comercio Manutenção e instalação de ar condicionadoLtda</t>
  </si>
  <si>
    <t>41 991020340</t>
  </si>
  <si>
    <t>natysdominguez@gmail.com</t>
  </si>
  <si>
    <t>05.477.326/0001-28</t>
  </si>
  <si>
    <t>Wilson Antonio Martins ( Santo Antonio Da Platina)</t>
  </si>
  <si>
    <t>41 988081466</t>
  </si>
  <si>
    <t>yuri_25_007@hotmail.com</t>
  </si>
  <si>
    <t>201.731.809-49</t>
  </si>
  <si>
    <t>BBO9416</t>
  </si>
  <si>
    <t>Rogerio Medeiros</t>
  </si>
  <si>
    <t>41 991018905</t>
  </si>
  <si>
    <t>rogerio2medeiros@gmail.com</t>
  </si>
  <si>
    <t>533.199.669-87</t>
  </si>
  <si>
    <t>Denivaldo Lemes</t>
  </si>
  <si>
    <t>41 31061095</t>
  </si>
  <si>
    <t>41 996156972</t>
  </si>
  <si>
    <t>denilemes82@gmail.com</t>
  </si>
  <si>
    <t>036.572.449-13</t>
  </si>
  <si>
    <t>AWD5H71</t>
  </si>
  <si>
    <t xml:space="preserve">Fabrina Ribeiro (Esposa Acram) </t>
  </si>
  <si>
    <t>47 996258083</t>
  </si>
  <si>
    <t>fabrinatrentini@remax.com.br</t>
  </si>
  <si>
    <t>087.031.929-97</t>
  </si>
  <si>
    <t>BEI6I04</t>
  </si>
  <si>
    <t>Maria Luiza Gomes Rodrigues (Tia Rafael Ind Jorge)</t>
  </si>
  <si>
    <t>41 998585135</t>
  </si>
  <si>
    <t>rafol_rodrigues@hotmail.com</t>
  </si>
  <si>
    <t>382.186.747-72</t>
  </si>
  <si>
    <t>BDD5A87</t>
  </si>
  <si>
    <t>Rafael Martins De Souza ( Fox )</t>
  </si>
  <si>
    <t>42 999207599</t>
  </si>
  <si>
    <t>rafaelsouza.advogado@gmail.com</t>
  </si>
  <si>
    <t>031.364.789-59</t>
  </si>
  <si>
    <t>AZZ8J71</t>
  </si>
  <si>
    <t>Clovis Alberto De Pinho (Socio Anderson)</t>
  </si>
  <si>
    <t>41 999420286</t>
  </si>
  <si>
    <t>meri@abscontabilidade.com.br</t>
  </si>
  <si>
    <t>431.547.869-53</t>
  </si>
  <si>
    <t>AXC9B18</t>
  </si>
  <si>
    <r>
      <t xml:space="preserve">Tatiane Wilwert Possebom ( Volvo </t>
    </r>
    <r>
      <rPr>
        <sz val="10"/>
        <color rgb="FFFF0000"/>
        <rFont val="Arial"/>
        <family val="2"/>
      </rPr>
      <t>Cancelado em 30/12/2025</t>
    </r>
    <r>
      <rPr>
        <sz val="10"/>
        <rFont val="Arial"/>
        <family val="2"/>
      </rPr>
      <t>)</t>
    </r>
  </si>
  <si>
    <t>41 999680126</t>
  </si>
  <si>
    <t>eduardo_a_possebom@hotmail.com</t>
  </si>
  <si>
    <t>031.723.019-07</t>
  </si>
  <si>
    <t>BEW1D05</t>
  </si>
  <si>
    <t>Andre Emerson Da Silva (Guarda belo Moto)</t>
  </si>
  <si>
    <t>41 999089797</t>
  </si>
  <si>
    <t>andreemersondasilva@gmail.com</t>
  </si>
  <si>
    <t>038.784.339-64</t>
  </si>
  <si>
    <t>ENU4E15</t>
  </si>
  <si>
    <t>Helcio Hokama (esposo Monica Hokama)</t>
  </si>
  <si>
    <t>41 998536125</t>
  </si>
  <si>
    <t>helciohokama@gmail.com</t>
  </si>
  <si>
    <t>MAPFRE</t>
  </si>
  <si>
    <t>872.216.409-04</t>
  </si>
  <si>
    <t>ARC6D22</t>
  </si>
  <si>
    <t>Luiz Carlos Martins ( seguro Renata C4 eposa Andre primo)</t>
  </si>
  <si>
    <t>43 999145479</t>
  </si>
  <si>
    <t>andre@petrechimartins.com.br</t>
  </si>
  <si>
    <t>278.767.569-72</t>
  </si>
  <si>
    <t>RNE3C55</t>
  </si>
  <si>
    <t>Mateus De Oliveira Alves ( Filho Abilio Vereador)</t>
  </si>
  <si>
    <t>41 997830132</t>
  </si>
  <si>
    <t>mateusnne@gmail.com</t>
  </si>
  <si>
    <t>109.810.169-36</t>
  </si>
  <si>
    <t>AZP5A74</t>
  </si>
  <si>
    <t>Bruno Andre Krulikowski alves ( sobrinho Emerson)</t>
  </si>
  <si>
    <t>45 999072077</t>
  </si>
  <si>
    <t>brunok.alves.agro@gmail.com</t>
  </si>
  <si>
    <t xml:space="preserve">PORTO SEGURO </t>
  </si>
  <si>
    <t>065.824.149-41</t>
  </si>
  <si>
    <t>AUP9D61</t>
  </si>
  <si>
    <t>Guiomar Sora Pereira</t>
  </si>
  <si>
    <t>41 30563314</t>
  </si>
  <si>
    <t>41 991214762</t>
  </si>
  <si>
    <t>guisoraster@gmail.com</t>
  </si>
  <si>
    <t>535.923.879-87</t>
  </si>
  <si>
    <t>QUT9C81</t>
  </si>
  <si>
    <t>Richard Wilson Lui (apartamento inquilino)</t>
  </si>
  <si>
    <t>41 30296489</t>
  </si>
  <si>
    <t>41 996310331</t>
  </si>
  <si>
    <t>rw_lui@yahoo.com.br</t>
  </si>
  <si>
    <t>605.859.789-72</t>
  </si>
  <si>
    <t>Astrotek Artigos Esportivos Ltda ( Carro esposa)</t>
  </si>
  <si>
    <t>41 999925772</t>
  </si>
  <si>
    <t>astroteksports@gmail.com</t>
  </si>
  <si>
    <t>13.328.444/0001-00</t>
  </si>
  <si>
    <t>SFK5C57</t>
  </si>
  <si>
    <t>Carlos Pedroso França</t>
  </si>
  <si>
    <t>41 32868551</t>
  </si>
  <si>
    <t>41 996120156</t>
  </si>
  <si>
    <t>carlospfranca@hotmail.com</t>
  </si>
  <si>
    <t>ITAU</t>
  </si>
  <si>
    <t>089.964.669-72</t>
  </si>
  <si>
    <t>AYE1882</t>
  </si>
  <si>
    <t xml:space="preserve">Tania Conceição De Oliveira Heiden </t>
  </si>
  <si>
    <t>41 999054448</t>
  </si>
  <si>
    <t>tania.c.oliveira@hotmail.com</t>
  </si>
  <si>
    <t>016.954.629-20</t>
  </si>
  <si>
    <r>
      <t xml:space="preserve">Monica Regina Kupka (Tucson </t>
    </r>
    <r>
      <rPr>
        <sz val="10"/>
        <color rgb="FFFF0000"/>
        <rFont val="Arial"/>
        <family val="2"/>
      </rPr>
      <t>Com 18 a 25 anos</t>
    </r>
    <r>
      <rPr>
        <sz val="10"/>
        <rFont val="Arial"/>
        <family val="2"/>
      </rPr>
      <t>)</t>
    </r>
  </si>
  <si>
    <t>41 30169548</t>
  </si>
  <si>
    <t>729.110.009-78</t>
  </si>
  <si>
    <t>FPE7H59</t>
  </si>
  <si>
    <t>Francisco Isaias Lopes (Chico) Irmão Carminda Carro e Residencial)</t>
  </si>
  <si>
    <t>41 33273666</t>
  </si>
  <si>
    <t>41 991918460</t>
  </si>
  <si>
    <t>francis.lopes777@gmail.com</t>
  </si>
  <si>
    <t>031.543.549-64</t>
  </si>
  <si>
    <t>AKZ7G15</t>
  </si>
  <si>
    <t>Sebastião Batista Batata  (Amigo Negão)</t>
  </si>
  <si>
    <t>sebastiaobatista@ig.com.br</t>
  </si>
  <si>
    <t>873.595.709-30</t>
  </si>
  <si>
    <t>AVK1L83</t>
  </si>
  <si>
    <t>Barbara Cristina Dias Schichting (Filha Marcão)</t>
  </si>
  <si>
    <t>41 36681992</t>
  </si>
  <si>
    <t>41 996529975</t>
  </si>
  <si>
    <t>baa.dias@hotmail.com</t>
  </si>
  <si>
    <t>062.084.309-84</t>
  </si>
  <si>
    <t>RHZ0B49</t>
  </si>
  <si>
    <t>Gustavo Didrich De Paula ( Gustavo Julia)</t>
  </si>
  <si>
    <t>41 996551130</t>
  </si>
  <si>
    <t>gustavo.didrich@gmail.com</t>
  </si>
  <si>
    <t>116.689.669-21</t>
  </si>
  <si>
    <t>CSF0D40</t>
  </si>
  <si>
    <t>Guilherme Mateus Latoh</t>
  </si>
  <si>
    <t>41 999885666</t>
  </si>
  <si>
    <t>Guilatoh@outlook.com</t>
  </si>
  <si>
    <t>100.910.399-75</t>
  </si>
  <si>
    <t>RLM1A04</t>
  </si>
  <si>
    <t xml:space="preserve">Antonio Rogerio Castelo Campos </t>
  </si>
  <si>
    <t>41 985311000</t>
  </si>
  <si>
    <t>fieldscorretora@gmail.com</t>
  </si>
  <si>
    <t>503.763.499-72</t>
  </si>
  <si>
    <t>BAF4A45</t>
  </si>
  <si>
    <t>Terezinha Andrade Possebom (Mãe Eduardo) Edenir Pai</t>
  </si>
  <si>
    <t>41 999778413</t>
  </si>
  <si>
    <t>edenirpossebom@hotmail.com</t>
  </si>
  <si>
    <t>188.220.459-04</t>
  </si>
  <si>
    <t>JIF1H33</t>
  </si>
  <si>
    <t>Amauri Nakamura Da Fonseca (Food Yakifast)</t>
  </si>
  <si>
    <t>41 991781143</t>
  </si>
  <si>
    <t>amaurinf@hotmail.com</t>
  </si>
  <si>
    <t>120.071.778-38</t>
  </si>
  <si>
    <t>RHP7G83</t>
  </si>
  <si>
    <t>Heloisa Helena Pacheco (esposa Alexandre Sarda)</t>
  </si>
  <si>
    <t>SFB3A05</t>
  </si>
  <si>
    <r>
      <t xml:space="preserve">Mauricio Nunes Fernandes (Ind Alex Vasta </t>
    </r>
    <r>
      <rPr>
        <sz val="10"/>
        <color rgb="FFFF0000"/>
        <rFont val="Arial"/>
        <family val="2"/>
      </rPr>
      <t>kit gas</t>
    </r>
    <r>
      <rPr>
        <sz val="10"/>
        <rFont val="Arial"/>
        <family val="2"/>
      </rPr>
      <t>)</t>
    </r>
  </si>
  <si>
    <t>41 997101975</t>
  </si>
  <si>
    <t>mauricio.dfh.82@gmail.com</t>
  </si>
  <si>
    <t>047.382.429-97</t>
  </si>
  <si>
    <t>QIS7526</t>
  </si>
  <si>
    <t>Ary Longen (Pai Lilian Longen)</t>
  </si>
  <si>
    <t>41 34583223</t>
  </si>
  <si>
    <t>41 999438881</t>
  </si>
  <si>
    <t>41 996803032</t>
  </si>
  <si>
    <t>foreverll8@yahoo.com.br</t>
  </si>
  <si>
    <t>026.163.279-53</t>
  </si>
  <si>
    <t>ADQ7888</t>
  </si>
  <si>
    <t xml:space="preserve">Clovis Ribeiro Do Nascimento Junior </t>
  </si>
  <si>
    <t>44 9991489950</t>
  </si>
  <si>
    <t>44 991350425</t>
  </si>
  <si>
    <t>clovis.jr.1997@gmail.com</t>
  </si>
  <si>
    <t>ZURICH</t>
  </si>
  <si>
    <t>106.258.779-00</t>
  </si>
  <si>
    <t>BCD6320</t>
  </si>
  <si>
    <t>Renato Da Silva Alves (Moto Trilha)</t>
  </si>
  <si>
    <t>059.102.899-93</t>
  </si>
  <si>
    <t>YYY9999</t>
  </si>
  <si>
    <r>
      <t xml:space="preserve">Monacco Serviços de Apoio Administrativos Ltda </t>
    </r>
    <r>
      <rPr>
        <sz val="10"/>
        <color rgb="FFFF0000"/>
        <rFont val="Arial"/>
        <family val="2"/>
      </rPr>
      <t>(Moto Entrega)</t>
    </r>
  </si>
  <si>
    <t>41 996829876</t>
  </si>
  <si>
    <t>08.636.969/0001-65</t>
  </si>
  <si>
    <t>TBK3F88</t>
  </si>
  <si>
    <t>Thiago Santos De Souza Moto Tornado (Ind. Thiago Gordo)</t>
  </si>
  <si>
    <t>41 987944682</t>
  </si>
  <si>
    <t>tss_administrador@hotmail.com</t>
  </si>
  <si>
    <t>327.614.798-07</t>
  </si>
  <si>
    <t>AVI0000</t>
  </si>
  <si>
    <t>Andrea Barbosa Delfini Paulo (Esposa Thiago ind Thiago gordo)</t>
  </si>
  <si>
    <t>259.425.328-69</t>
  </si>
  <si>
    <t>BCF3469</t>
  </si>
  <si>
    <r>
      <t xml:space="preserve">Caroline Patricia Maran (Tiggo 8) </t>
    </r>
    <r>
      <rPr>
        <sz val="10"/>
        <color rgb="FFFF0000"/>
        <rFont val="Arial"/>
        <family val="2"/>
      </rPr>
      <t>com pessoas de 18 a 25 anos</t>
    </r>
  </si>
  <si>
    <t>41 999432238</t>
  </si>
  <si>
    <t>022.763.599-00</t>
  </si>
  <si>
    <t>Rozeli Commim (Rose Salão)</t>
  </si>
  <si>
    <t>41 992364120</t>
  </si>
  <si>
    <t>roseli.commim@hotmail.com</t>
  </si>
  <si>
    <t>243.044.099-72</t>
  </si>
  <si>
    <t>Daiane Teresinha Dos Santos ( esposa Fiduma egua)</t>
  </si>
  <si>
    <t>41 999320297</t>
  </si>
  <si>
    <t>daiadainha@hotmail.com</t>
  </si>
  <si>
    <t>044.162.909-18</t>
  </si>
  <si>
    <t>BDG0H54</t>
  </si>
  <si>
    <t>José Luciano Andretta Vieira</t>
  </si>
  <si>
    <t>41 997094078</t>
  </si>
  <si>
    <t>jlandretta@yahoo.com</t>
  </si>
  <si>
    <t>026.333.179-28</t>
  </si>
  <si>
    <t>EQUIPAMENTOS PORTATEIS</t>
  </si>
  <si>
    <t>Audrey Andrade Possebom (Irmã Eduardo Possebom)</t>
  </si>
  <si>
    <t>41 999718443</t>
  </si>
  <si>
    <t>audreypossebom@gmail.com</t>
  </si>
  <si>
    <t>020.091.699-80</t>
  </si>
  <si>
    <t>SFO8G14</t>
  </si>
  <si>
    <r>
      <t>Sergio Augusto Guimaraes Ferreira (Seguro KICKS)</t>
    </r>
    <r>
      <rPr>
        <sz val="10"/>
        <color rgb="FFFF0000"/>
        <rFont val="Arial"/>
        <family val="2"/>
      </rPr>
      <t xml:space="preserve"> (Com cobertura de 18 a 25 anos endosso )</t>
    </r>
  </si>
  <si>
    <t>41 996017788</t>
  </si>
  <si>
    <t>sergioagf57@hotmail.com</t>
  </si>
  <si>
    <t>428.960.539-72</t>
  </si>
  <si>
    <t>RHA4H65</t>
  </si>
  <si>
    <t>Pamela Hildo Laurindo (Amiga Karina Bradesco)</t>
  </si>
  <si>
    <t>41 999868645</t>
  </si>
  <si>
    <t>pamelahlaurindo@gmail.com</t>
  </si>
  <si>
    <t>047.339.799-40</t>
  </si>
  <si>
    <t>Claci Maria Lottermann ( ind Elisangela felipe)</t>
  </si>
  <si>
    <t>45 999544216</t>
  </si>
  <si>
    <t>elisangelachmoreira@hotmail.com</t>
  </si>
  <si>
    <t>022.946.119-00</t>
  </si>
  <si>
    <t>Marco Antonio Garcia Schlichting</t>
  </si>
  <si>
    <t>357.364.459-72</t>
  </si>
  <si>
    <t>BDZ7D30</t>
  </si>
  <si>
    <t>Dominga Damaso De Santana Latoh (Helena condutora)</t>
  </si>
  <si>
    <t>41 999324639</t>
  </si>
  <si>
    <t>helenalatoh@gmail.com</t>
  </si>
  <si>
    <t>757.165.859-49</t>
  </si>
  <si>
    <t>BDV8E68</t>
  </si>
  <si>
    <t>Moacyr Martins De Souza (Pai Rafael Compadre)</t>
  </si>
  <si>
    <t>SANCOR</t>
  </si>
  <si>
    <t>326.108.319-00</t>
  </si>
  <si>
    <t>BBW6208</t>
  </si>
  <si>
    <t>Luiz Carlos Martins ( Tio Luiz)</t>
  </si>
  <si>
    <t>43 999911034</t>
  </si>
  <si>
    <t>luiz.seguro@gmail.com</t>
  </si>
  <si>
    <t>EWE3F66</t>
  </si>
  <si>
    <t>Rafael Commim Busato</t>
  </si>
  <si>
    <t>41 996203333</t>
  </si>
  <si>
    <t>rafael_busatto@yahoo.com.br</t>
  </si>
  <si>
    <t>034.069.729-69</t>
  </si>
  <si>
    <t>SUA2G81</t>
  </si>
  <si>
    <t>Elisangela Chimbida (Ind Felipe Daniel)</t>
  </si>
  <si>
    <t>45 999403303</t>
  </si>
  <si>
    <t>048.730.449-79</t>
  </si>
  <si>
    <t>Mariangela Bertolini De Pinho (Esposa Clovis)</t>
  </si>
  <si>
    <t>41 991412254</t>
  </si>
  <si>
    <t>maripinho3@yahoo.com.br</t>
  </si>
  <si>
    <t>716.543.059-87</t>
  </si>
  <si>
    <t>RHB8E69</t>
  </si>
  <si>
    <t>Andre Luiz Petrechi Martins ( Loja Esposa)</t>
  </si>
  <si>
    <t>andrepetrechi.adv@gmail.com</t>
  </si>
  <si>
    <t>080.826.279-30</t>
  </si>
  <si>
    <t>Evaldo Krulikowski (Residencial Evaldo)</t>
  </si>
  <si>
    <t>Mauricio Ferro Barrera</t>
  </si>
  <si>
    <t>41 32824777</t>
  </si>
  <si>
    <t>41 999482567</t>
  </si>
  <si>
    <t>mau.barrera@hotmail.com</t>
  </si>
  <si>
    <t>130.965.478-66</t>
  </si>
  <si>
    <t>Rosimeire Mercurio</t>
  </si>
  <si>
    <t>41 32561881</t>
  </si>
  <si>
    <t>41 999331689</t>
  </si>
  <si>
    <t>rose.mercurio@hotmail.com</t>
  </si>
  <si>
    <t>119.855.048-12</t>
  </si>
  <si>
    <t>Leandro Agostinho (Seguro Consultorio)</t>
  </si>
  <si>
    <t>41 33767664</t>
  </si>
  <si>
    <t>41 991619886</t>
  </si>
  <si>
    <t>le-agostinho@hotmail.com</t>
  </si>
  <si>
    <t>191.555.768-26</t>
  </si>
  <si>
    <t>Julio Abreu Da Cruz (Padrasto Tanixa xp)</t>
  </si>
  <si>
    <t>41 998183462</t>
  </si>
  <si>
    <t>447.798.289-53</t>
  </si>
  <si>
    <t>ALX3579</t>
  </si>
  <si>
    <t>Distribuidora de alimentos Braganholo (Seguro Porsche)</t>
  </si>
  <si>
    <t>41 987406612</t>
  </si>
  <si>
    <t>embutidosbraganholo@gmail.com</t>
  </si>
  <si>
    <t>22.357.631/0001-03</t>
  </si>
  <si>
    <t>RFJ7J18</t>
  </si>
  <si>
    <t>Eva Maria Duarte ( ind. Carol)</t>
  </si>
  <si>
    <t>41 999429191</t>
  </si>
  <si>
    <t>evaduarteg@hotmail.com</t>
  </si>
  <si>
    <t>343.577.851-20</t>
  </si>
  <si>
    <t>BAI0327</t>
  </si>
  <si>
    <r>
      <t xml:space="preserve">Orieu Missias da Silva (Pai Vania Renato </t>
    </r>
    <r>
      <rPr>
        <sz val="10"/>
        <color rgb="FFFF0000"/>
        <rFont val="Arial"/>
        <family val="2"/>
      </rPr>
      <t>com condutor de 18 a 25 anos</t>
    </r>
    <r>
      <rPr>
        <sz val="10"/>
        <rFont val="Arial"/>
        <family val="2"/>
      </rPr>
      <t>)</t>
    </r>
  </si>
  <si>
    <t>41 33488054</t>
  </si>
  <si>
    <t>41 991496571</t>
  </si>
  <si>
    <t>41 991541637</t>
  </si>
  <si>
    <t>vania.nogueira1010@gmail.com</t>
  </si>
  <si>
    <t>241.440.379-91</t>
  </si>
  <si>
    <t>SEO0C45</t>
  </si>
  <si>
    <r>
      <t>Pizzaria Mister Giuseppe Ltda (</t>
    </r>
    <r>
      <rPr>
        <sz val="10"/>
        <color rgb="FFFF0000"/>
        <rFont val="Arial"/>
        <family val="2"/>
      </rPr>
      <t>Sprinter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Uso Comercial</t>
    </r>
    <r>
      <rPr>
        <sz val="10"/>
        <rFont val="Arial"/>
        <family val="2"/>
      </rPr>
      <t>)</t>
    </r>
  </si>
  <si>
    <t>41 33838493</t>
  </si>
  <si>
    <t>31.125.423/0001-61</t>
  </si>
  <si>
    <t>BDH6I15</t>
  </si>
  <si>
    <t>Regiane Fernandes Lambert (Esposa Clayton Ind Marisa e Lu)</t>
  </si>
  <si>
    <t>clayton.lambert@outlook.com</t>
  </si>
  <si>
    <t>366.853.558-24</t>
  </si>
  <si>
    <t>FIK4H91</t>
  </si>
  <si>
    <t>Suzimeri Cristina Sonaglio Dos Santos (Amante Clovis)</t>
  </si>
  <si>
    <t>41 995101600</t>
  </si>
  <si>
    <t>suzimericristina.1984@gmail.com</t>
  </si>
  <si>
    <t>045.235.699-75</t>
  </si>
  <si>
    <t>AXF4B08</t>
  </si>
  <si>
    <t>Vitoria Fernanda Da Silva Soranco</t>
  </si>
  <si>
    <t>41 999295857</t>
  </si>
  <si>
    <t>vitoriasoranco@icloud.com</t>
  </si>
  <si>
    <t>141.195.139-55</t>
  </si>
  <si>
    <t>Leandro Agostinho</t>
  </si>
  <si>
    <t>SFO3E69</t>
  </si>
  <si>
    <t>Rodrigo Spricigo Teixeira (Nutri Amigo Thiago)</t>
  </si>
  <si>
    <t>rodrigo.rst@gmail.com</t>
  </si>
  <si>
    <t>058.149.299-44</t>
  </si>
  <si>
    <t>AXB1318</t>
  </si>
  <si>
    <t>Andre Luiz Petrechi Martins (Ranger)</t>
  </si>
  <si>
    <t>43 30266743</t>
  </si>
  <si>
    <t>FNG6C80</t>
  </si>
  <si>
    <t>Naima Produções Ltda (Filha Clovis)</t>
  </si>
  <si>
    <t>naimacultural@gmail.com</t>
  </si>
  <si>
    <t>48.009.022/0002-20</t>
  </si>
  <si>
    <t>AOA5J09</t>
  </si>
  <si>
    <t xml:space="preserve">Rafael De Assunção Rodrigues </t>
  </si>
  <si>
    <t>065.275.349-30</t>
  </si>
  <si>
    <t>Anita Ribeiro Schulze De Moraes ( Cintia Principal Condutora Funcionaria compadre Rafael)</t>
  </si>
  <si>
    <t>42 999370095</t>
  </si>
  <si>
    <t>scguarapuava@gmail.com</t>
  </si>
  <si>
    <t>983.293.329-34</t>
  </si>
  <si>
    <t>RNY9A26</t>
  </si>
  <si>
    <t>Anderson De Lima Niz (Ind. Leonardo Pegorario XP)</t>
  </si>
  <si>
    <t>41 996938853</t>
  </si>
  <si>
    <t>andersonniz96@gmail.com</t>
  </si>
  <si>
    <t>101.423.009-85</t>
  </si>
  <si>
    <t>SEE9A32</t>
  </si>
  <si>
    <t>Rodrigo Spricigo Teixeira (Nutri Residencia)</t>
  </si>
  <si>
    <t>41 920032099</t>
  </si>
  <si>
    <r>
      <t>Monacco Serviço De Apoio Administrativo Ltda (</t>
    </r>
    <r>
      <rPr>
        <sz val="10"/>
        <color rgb="FFFF0000"/>
        <rFont val="Arial"/>
        <family val="2"/>
      </rPr>
      <t>Moto entrega</t>
    </r>
    <r>
      <rPr>
        <sz val="10"/>
        <rFont val="Arial"/>
        <family val="2"/>
      </rPr>
      <t>)</t>
    </r>
  </si>
  <si>
    <t>SEM6D59</t>
  </si>
  <si>
    <t>Luiz Antonio Zardo</t>
  </si>
  <si>
    <t>41 991038864</t>
  </si>
  <si>
    <t>luiz_zardo@hotmail.com</t>
  </si>
  <si>
    <t>579.602.918-53</t>
  </si>
  <si>
    <t>TAM4A32</t>
  </si>
  <si>
    <t>Ana Paula Sagae Leopoldino Vivian (esposa Fabricio Prudencial)</t>
  </si>
  <si>
    <t>41 32428019</t>
  </si>
  <si>
    <t>41 996457209</t>
  </si>
  <si>
    <t>43 996530404</t>
  </si>
  <si>
    <t>apsagae@gmail.com</t>
  </si>
  <si>
    <t>008.405.589-88</t>
  </si>
  <si>
    <t>RLR4B23</t>
  </si>
  <si>
    <t>Dauana Aparecida Gomes dos Santos</t>
  </si>
  <si>
    <t>41 995970984</t>
  </si>
  <si>
    <t>dauanagomes84@gmail.com</t>
  </si>
  <si>
    <t>117.775.989-66</t>
  </si>
  <si>
    <t>AZI3901</t>
  </si>
  <si>
    <t>Magno Verges Romanoski</t>
  </si>
  <si>
    <t>41 991378007</t>
  </si>
  <si>
    <t>vergesmagno@gmail.com</t>
  </si>
  <si>
    <t>710.151.599-15</t>
  </si>
  <si>
    <t>BEJ4G14</t>
  </si>
  <si>
    <t>Patricia Zeraik Abdalla</t>
  </si>
  <si>
    <t>41 32532093</t>
  </si>
  <si>
    <t>41 998263268</t>
  </si>
  <si>
    <t>Paty.abd@gmail.com</t>
  </si>
  <si>
    <t>877.120.759-72</t>
  </si>
  <si>
    <t>AZP4E11</t>
  </si>
  <si>
    <t>Ailton Rosa Soares (Esposo Debora siqueira)</t>
  </si>
  <si>
    <t>41 99558988</t>
  </si>
  <si>
    <t>41 996461121</t>
  </si>
  <si>
    <t>dtssiqueira@gmail.com</t>
  </si>
  <si>
    <t>025.759.159-10</t>
  </si>
  <si>
    <t>SDQ0G67</t>
  </si>
  <si>
    <t>Abilio Arthur Alves</t>
  </si>
  <si>
    <t>41 991072076</t>
  </si>
  <si>
    <t>Abilioarthur@hormail.com</t>
  </si>
  <si>
    <t>004.062.839-66</t>
  </si>
  <si>
    <t>Jose Fernando Opolis (Ze Auto Escola BMW)</t>
  </si>
  <si>
    <t>41 999212871</t>
  </si>
  <si>
    <t>cfccariotran@yahoo.com.br</t>
  </si>
  <si>
    <t>018.522.669-88</t>
  </si>
  <si>
    <t>SFB-9E40</t>
  </si>
  <si>
    <t>Douglas Luiz Corsico (Esposa Condutora)(Ind. Thiago Game Hero)</t>
  </si>
  <si>
    <t>41 996684695</t>
  </si>
  <si>
    <t>douglascorsico@gmail.com</t>
  </si>
  <si>
    <t>079.263.449-74</t>
  </si>
  <si>
    <t>BEG6B45</t>
  </si>
  <si>
    <t>Lorraini Alyl Yunes Lunardi</t>
  </si>
  <si>
    <t>41 995576746</t>
  </si>
  <si>
    <t>lorraini.alyl@hotmail.com</t>
  </si>
  <si>
    <t>078.967.899-30</t>
  </si>
  <si>
    <t>BBX4A09</t>
  </si>
  <si>
    <t>Rodrigo Spricigo Teixeira (Empresarial)</t>
  </si>
  <si>
    <t>Acram Said Rajab</t>
  </si>
  <si>
    <t>BZK8E33</t>
  </si>
  <si>
    <t>Aloir Sabatini (Pai Sabatini)</t>
  </si>
  <si>
    <t>41 999479550</t>
  </si>
  <si>
    <t>sabatinialoir@gmail.com</t>
  </si>
  <si>
    <t>017.085.039-00</t>
  </si>
  <si>
    <t>BEK3E13</t>
  </si>
  <si>
    <t>Thiago Henrique Torres Anginski (Filho Marcos Aluguel de Casa)</t>
  </si>
  <si>
    <t>41 996101804</t>
  </si>
  <si>
    <t>thiagothorresa@gmail.com</t>
  </si>
  <si>
    <t>104.658.769-27</t>
  </si>
  <si>
    <t>RXQ8I59</t>
  </si>
  <si>
    <t>Jossiane Tereza Otto Otica (Irma Jenifer vasta)</t>
  </si>
  <si>
    <t>41 999024144</t>
  </si>
  <si>
    <t>jossiotto@hotmail.com</t>
  </si>
  <si>
    <t>008.286.149-89</t>
  </si>
  <si>
    <t>SEJ8H43</t>
  </si>
  <si>
    <t>Yoshihiro sakagami</t>
  </si>
  <si>
    <t>41 30265184</t>
  </si>
  <si>
    <t>41 999745184</t>
  </si>
  <si>
    <t>yoshi@ysauditores.com.br</t>
  </si>
  <si>
    <t>161.053.039-04</t>
  </si>
  <si>
    <t>AYS7J99</t>
  </si>
  <si>
    <t>Angela Karine Krelling (filha Arnaldo)</t>
  </si>
  <si>
    <t>41 999010928</t>
  </si>
  <si>
    <t>luciano@.com.br</t>
  </si>
  <si>
    <t>031.868.519-12</t>
  </si>
  <si>
    <t>Bar e Mercearia Linda Ltda</t>
  </si>
  <si>
    <t>41 32550676</t>
  </si>
  <si>
    <t>41 999810247</t>
  </si>
  <si>
    <t>lemesadelar@gmail.com</t>
  </si>
  <si>
    <t>75.174.680/0001-69</t>
  </si>
  <si>
    <r>
      <t xml:space="preserve">Elvio Agnaldo Bonomo </t>
    </r>
    <r>
      <rPr>
        <sz val="10"/>
        <color rgb="FFFF0000"/>
        <rFont val="Arial"/>
        <family val="2"/>
      </rPr>
      <t>(Com cobertura 18 a 25 anos)</t>
    </r>
  </si>
  <si>
    <t>41 32453788</t>
  </si>
  <si>
    <t>41 984047805</t>
  </si>
  <si>
    <t>elvio.bono@hotmail.com</t>
  </si>
  <si>
    <t>626.858.809-68</t>
  </si>
  <si>
    <t>BEF9B78</t>
  </si>
  <si>
    <t>Tatiane Wilwert Possebom (Audi)</t>
  </si>
  <si>
    <t>41 996801266</t>
  </si>
  <si>
    <t>AAU7772</t>
  </si>
  <si>
    <t>Eduardo Andrade Possebom (Golf GTI)</t>
  </si>
  <si>
    <t>41 33460734</t>
  </si>
  <si>
    <t>035.003.509-17</t>
  </si>
  <si>
    <t>GBY9F77</t>
  </si>
  <si>
    <r>
      <t xml:space="preserve">Caroline Patricia Maran ( Esposa Marcelo Fossatti Ranger </t>
    </r>
    <r>
      <rPr>
        <sz val="10"/>
        <color rgb="FFFF0000"/>
        <rFont val="Arial"/>
        <family val="2"/>
      </rPr>
      <t xml:space="preserve">com 18 a 26 anos </t>
    </r>
    <r>
      <rPr>
        <sz val="10"/>
        <rFont val="Arial"/>
        <family val="2"/>
      </rPr>
      <t>)</t>
    </r>
  </si>
  <si>
    <t>BDP5J99</t>
  </si>
  <si>
    <t>Pedro Paulo Assunção De Andrade (Visinho pelo Site)</t>
  </si>
  <si>
    <t>41 999280381</t>
  </si>
  <si>
    <t>ppfesta.plus@hotmail.com</t>
  </si>
  <si>
    <t>014.048.508-21</t>
  </si>
  <si>
    <t>Kelly Wanessa Ribeiro (Esposa Rafael Compadre)</t>
  </si>
  <si>
    <t>41 999207599</t>
  </si>
  <si>
    <t>575.004.872-15</t>
  </si>
  <si>
    <t>AYL7689</t>
  </si>
  <si>
    <r>
      <t xml:space="preserve">Tereza Sirlei Lopes Augusto (Sogra Chico Irmão Carminda </t>
    </r>
    <r>
      <rPr>
        <sz val="10"/>
        <color rgb="FFFF0000"/>
        <rFont val="Arial"/>
        <family val="2"/>
      </rPr>
      <t>A Vista Antecipado</t>
    </r>
    <r>
      <rPr>
        <sz val="10"/>
        <rFont val="Arial"/>
        <family val="2"/>
      </rPr>
      <t>)</t>
    </r>
  </si>
  <si>
    <t>fracis.lopes777@gmail.com</t>
  </si>
  <si>
    <t>029.007.169-00</t>
  </si>
  <si>
    <t>BDX9I41</t>
  </si>
  <si>
    <t>Luciana Camuri De Souza</t>
  </si>
  <si>
    <t>41 21039000</t>
  </si>
  <si>
    <t>41 996596650</t>
  </si>
  <si>
    <t>lucamuri2001@yahoo.com.br</t>
  </si>
  <si>
    <t>083.128.897-36</t>
  </si>
  <si>
    <t>BBM6641</t>
  </si>
  <si>
    <r>
      <t>Jose Valmir Camargo</t>
    </r>
    <r>
      <rPr>
        <sz val="10"/>
        <color rgb="FFFF0000"/>
        <rFont val="Arial"/>
        <family val="2"/>
      </rPr>
      <t xml:space="preserve"> ( Com 18 a 25 Anos)</t>
    </r>
    <r>
      <rPr>
        <sz val="10"/>
        <rFont val="Arial"/>
        <family val="2"/>
      </rPr>
      <t xml:space="preserve"> ( Chaves)</t>
    </r>
  </si>
  <si>
    <t>41 992464476</t>
  </si>
  <si>
    <t>camargojose02041974@gmail.com</t>
  </si>
  <si>
    <t>967.399.329-72</t>
  </si>
  <si>
    <t>RHT9C37</t>
  </si>
  <si>
    <t>Marisa Bilinski(Irmã Carol)</t>
  </si>
  <si>
    <t>41 999753863</t>
  </si>
  <si>
    <t>bilinski.marisa@gmail.com</t>
  </si>
  <si>
    <t>048.871.719-19</t>
  </si>
  <si>
    <t>AWC5271</t>
  </si>
  <si>
    <t>Thiago Rodrigues Da Costa (Meu Filho)</t>
  </si>
  <si>
    <t>41 991741000</t>
  </si>
  <si>
    <t>thiago@lacostacorretora.com.br</t>
  </si>
  <si>
    <t>081.607.519-07</t>
  </si>
  <si>
    <t>Tiago Martins De Souza (Irmao Rafael Compadre)</t>
  </si>
  <si>
    <t>42 999362176</t>
  </si>
  <si>
    <t>avenidacafeguarapuava@hotmail.com</t>
  </si>
  <si>
    <t>009.705.249-35</t>
  </si>
  <si>
    <t>SET3G98</t>
  </si>
  <si>
    <t>Pizzaria Mister Giuseppe Ltda (seguro Tucson mae renato)</t>
  </si>
  <si>
    <t>SEX6I15</t>
  </si>
  <si>
    <t>Adelar Lemes</t>
  </si>
  <si>
    <t>764.996.779-49</t>
  </si>
  <si>
    <r>
      <t xml:space="preserve">Eliane Lage Renzetti Negrini Esposo Junior ( Ind Felipe Lacerda </t>
    </r>
    <r>
      <rPr>
        <sz val="10"/>
        <color rgb="FF00B050"/>
        <rFont val="Arial"/>
        <family val="2"/>
      </rPr>
      <t>XP Antiga</t>
    </r>
    <r>
      <rPr>
        <sz val="10"/>
        <rFont val="Arial"/>
        <family val="2"/>
      </rPr>
      <t>)</t>
    </r>
  </si>
  <si>
    <t>41 999343243</t>
  </si>
  <si>
    <t>jrnegrini@hotmail.com</t>
  </si>
  <si>
    <t>581.759.709-87</t>
  </si>
  <si>
    <t xml:space="preserve">Rodrigo Spricigo Teixeira </t>
  </si>
  <si>
    <t>Jenifer Leopoldina Otto Otica (Vasta)</t>
  </si>
  <si>
    <t>41 992432835</t>
  </si>
  <si>
    <t>jeniferotto@hotmail.com</t>
  </si>
  <si>
    <t>084.488.709-99</t>
  </si>
  <si>
    <t>AUH8549</t>
  </si>
  <si>
    <t xml:space="preserve">Renato da Silva Alves HILUX </t>
  </si>
  <si>
    <t xml:space="preserve"> BAA4I94</t>
  </si>
  <si>
    <t>Rozeli Commim (RoseCarol)</t>
  </si>
  <si>
    <t>ARC5A21</t>
  </si>
  <si>
    <t>Paulo Cesar De Andrade (Turma Renato)</t>
  </si>
  <si>
    <t>paulo.cesar.andradee@gmail.com</t>
  </si>
  <si>
    <t>AMO1F14</t>
  </si>
  <si>
    <t>Felipe Krulikowski (Condutor Evaldo)</t>
  </si>
  <si>
    <t>45 32311300</t>
  </si>
  <si>
    <t>075.123.049-94</t>
  </si>
  <si>
    <t>BCU0H57</t>
  </si>
  <si>
    <t>Rogerio Martins Da Silva (Primo)</t>
  </si>
  <si>
    <t>43 999890008</t>
  </si>
  <si>
    <t>rogerio@knr.com.br</t>
  </si>
  <si>
    <t>040.910.989-40</t>
  </si>
  <si>
    <t>RHA8F40</t>
  </si>
  <si>
    <t xml:space="preserve">La Costa corretors de seguros Ltda Minha Hilux </t>
  </si>
  <si>
    <t>41 30761050</t>
  </si>
  <si>
    <t>41 991751000</t>
  </si>
  <si>
    <t>Luciano@lacostacorretora.com.br</t>
  </si>
  <si>
    <t>03.447.378/0001-26</t>
  </si>
  <si>
    <t>QBL5A50</t>
  </si>
  <si>
    <t>Vinicius Martins Pedro (Primo)</t>
  </si>
  <si>
    <t>43 988409928</t>
  </si>
  <si>
    <t>guilherme.martins.adv@hotmail.com</t>
  </si>
  <si>
    <t>106.855.559-92</t>
  </si>
  <si>
    <t>SUA4A79</t>
  </si>
  <si>
    <t>Thatiane Aparecida Cicchella (Filha Sergio Ciccella)</t>
  </si>
  <si>
    <t>45 32311151</t>
  </si>
  <si>
    <t>47 33684864</t>
  </si>
  <si>
    <t>45 999405930</t>
  </si>
  <si>
    <t>farmaciahc2006@hotmail.com</t>
  </si>
  <si>
    <t>076.799.899-58</t>
  </si>
  <si>
    <t>QFS2B07</t>
  </si>
  <si>
    <r>
      <t xml:space="preserve">Monacco Serviço De Apoio Administrativo Ltda </t>
    </r>
    <r>
      <rPr>
        <sz val="10"/>
        <color rgb="FFFF0000"/>
        <rFont val="Arial"/>
        <family val="2"/>
      </rPr>
      <t>(Moto entrega)</t>
    </r>
  </si>
  <si>
    <t>TAM4I82</t>
  </si>
  <si>
    <t>Natielle De Carvalho Rodrigues (Esposa Primo CITY)</t>
  </si>
  <si>
    <t>43 996092982</t>
  </si>
  <si>
    <t>063.623.089-99</t>
  </si>
  <si>
    <t>BEB2D97</t>
  </si>
  <si>
    <t xml:space="preserve">Richard Wilson Lui </t>
  </si>
  <si>
    <t>QQF5I05</t>
  </si>
  <si>
    <r>
      <t>Lilian Longen</t>
    </r>
    <r>
      <rPr>
        <sz val="10"/>
        <color rgb="FFFF0000"/>
        <rFont val="Arial"/>
        <family val="2"/>
      </rPr>
      <t xml:space="preserve"> ( a vista Antecipado)</t>
    </r>
  </si>
  <si>
    <t>41 32569247</t>
  </si>
  <si>
    <t>41 99438881</t>
  </si>
  <si>
    <t>763.078.249-72</t>
  </si>
  <si>
    <t>BEN7888</t>
  </si>
  <si>
    <t>Thiago Hideyo Nihei (Esposa condutora)</t>
  </si>
  <si>
    <t>43 999361042</t>
  </si>
  <si>
    <t>thiagonihei@hotmail.com</t>
  </si>
  <si>
    <t>045.727.129-99</t>
  </si>
  <si>
    <t>TBV6E21</t>
  </si>
  <si>
    <r>
      <t>Simone Oliveira Da Rocha</t>
    </r>
    <r>
      <rPr>
        <sz val="10"/>
        <color rgb="FFFF0000"/>
        <rFont val="Arial"/>
        <family val="2"/>
      </rPr>
      <t xml:space="preserve"> (Com cobertura para 18 a 25 anos)</t>
    </r>
    <r>
      <rPr>
        <sz val="10"/>
        <rFont val="Arial"/>
        <family val="2"/>
      </rPr>
      <t xml:space="preserve"> (Mãe Cami) </t>
    </r>
  </si>
  <si>
    <t>simone_pisante@hotmail.com</t>
  </si>
  <si>
    <t>977.801.629-15</t>
  </si>
  <si>
    <t>SFK9H02</t>
  </si>
  <si>
    <t>Br Log Ltda Me (Fox Rogerio Primo)</t>
  </si>
  <si>
    <t>33.150.026/0001-75</t>
  </si>
  <si>
    <t>BCF4E06</t>
  </si>
  <si>
    <r>
      <t xml:space="preserve">Maurina Lopes Pego </t>
    </r>
    <r>
      <rPr>
        <sz val="10"/>
        <color rgb="FFFF0000"/>
        <rFont val="Arial"/>
        <family val="2"/>
      </rPr>
      <t>(Condutora Marta prima Renato)</t>
    </r>
  </si>
  <si>
    <t>41 999620768</t>
  </si>
  <si>
    <t>contato@imobiliariacontato.com.br</t>
  </si>
  <si>
    <t>643.046.479-20</t>
  </si>
  <si>
    <t>AZL2C47</t>
  </si>
  <si>
    <t>Antenor Alves Filho (Pai Bruno menoti Arapongas)</t>
  </si>
  <si>
    <t>43 999768811</t>
  </si>
  <si>
    <t>43 999888894</t>
  </si>
  <si>
    <t>brunozechel@hotmail.com</t>
  </si>
  <si>
    <t>021.165.398-54</t>
  </si>
  <si>
    <t>AWN8D88</t>
  </si>
  <si>
    <t>João Marcos De Almeida (Cigano)</t>
  </si>
  <si>
    <t>41 991548996</t>
  </si>
  <si>
    <t>Marco.trilha00@gmail.com</t>
  </si>
  <si>
    <t>724.467.149-00</t>
  </si>
  <si>
    <t>ATO1B50</t>
  </si>
  <si>
    <t>Transportadora e Comercio De Madeira Sal (Clacir Ind. Adelmo)</t>
  </si>
  <si>
    <t>41 991916832</t>
  </si>
  <si>
    <t>clacirsalvadego82@gmail.com</t>
  </si>
  <si>
    <t>08.923.170/0001-50</t>
  </si>
  <si>
    <t>SCQ0J14</t>
  </si>
  <si>
    <t>Reynaldo Rossinholi Filho</t>
  </si>
  <si>
    <t>41 30954898</t>
  </si>
  <si>
    <t>41 996199562</t>
  </si>
  <si>
    <t>reynaldo.filho@engeluz.com.br</t>
  </si>
  <si>
    <t>301.470.509-87</t>
  </si>
  <si>
    <t>RHO6A51</t>
  </si>
  <si>
    <t>Gabriel Cercal De Souza ( Irmão Marlon)</t>
  </si>
  <si>
    <t>41 984609166</t>
  </si>
  <si>
    <t>gabrielcercal009@gmail.com</t>
  </si>
  <si>
    <t>145.176.549-58</t>
  </si>
  <si>
    <t>GBS4B09</t>
  </si>
  <si>
    <t>Rose Regina Bonomo (Irma Elvio)</t>
  </si>
  <si>
    <t>41 998757511</t>
  </si>
  <si>
    <t>41 999995829</t>
  </si>
  <si>
    <t>contato@residencialamorevida.com.br</t>
  </si>
  <si>
    <t>778.795.209-10</t>
  </si>
  <si>
    <t>AXS0789</t>
  </si>
  <si>
    <t>Adriana Agostinho (Esposa Leandro Dentista)</t>
  </si>
  <si>
    <t>171.825.258-79</t>
  </si>
  <si>
    <r>
      <t>Eliana Ramos Pinto</t>
    </r>
    <r>
      <rPr>
        <sz val="10"/>
        <color rgb="FFFF0000"/>
        <rFont val="Arial"/>
        <family val="2"/>
      </rPr>
      <t xml:space="preserve"> (Consta Sinistro)</t>
    </r>
  </si>
  <si>
    <t>41 32069987</t>
  </si>
  <si>
    <t>41 996449987</t>
  </si>
  <si>
    <t>ademir-santos1957@bol.com.br</t>
  </si>
  <si>
    <t>598.225.549-15</t>
  </si>
  <si>
    <t>RHA0J68</t>
  </si>
  <si>
    <t xml:space="preserve">Valdir Faquim (Pai Rudi) </t>
  </si>
  <si>
    <t>rudiengenheiro@gmail.com</t>
  </si>
  <si>
    <t>461.595.179-53</t>
  </si>
  <si>
    <t>GCU7B72</t>
  </si>
  <si>
    <t>Vinicius Rypchinski De Araujo (Filho Marcia X Binho Renato)</t>
  </si>
  <si>
    <t>41 992650435</t>
  </si>
  <si>
    <t>mrypchi@gmail.com</t>
  </si>
  <si>
    <t>067.923.209-51</t>
  </si>
  <si>
    <t>TAP9D19</t>
  </si>
  <si>
    <t>Empreendimentos Imobiliarios Rajab Ltda (Dona Elma Mãe Acram)</t>
  </si>
  <si>
    <t>08.686.165/0001-70</t>
  </si>
  <si>
    <t>RXO1B08</t>
  </si>
  <si>
    <t>Figueiredo Ribeiro Consultoria Rural Ltda (Visinho site guabirotuba)</t>
  </si>
  <si>
    <t>67 981119850</t>
  </si>
  <si>
    <t>41 984871945</t>
  </si>
  <si>
    <t>agronomo-ms@gmail.com</t>
  </si>
  <si>
    <t>16.017.238/0001-60</t>
  </si>
  <si>
    <t>UAS7C68</t>
  </si>
  <si>
    <t>Luciano Aparecido da Costa</t>
  </si>
  <si>
    <t>774.688.999-91</t>
  </si>
  <si>
    <t>Marcia Regina Rypchinski (Esposa Binho Renato)</t>
  </si>
  <si>
    <t>41 996730726</t>
  </si>
  <si>
    <t>709.663.899-72</t>
  </si>
  <si>
    <t>FWE6H07</t>
  </si>
  <si>
    <t>Rosa Maria Lopes Marins (Mãe Rafa)</t>
  </si>
  <si>
    <t>19 32388631</t>
  </si>
  <si>
    <t>19 994514171</t>
  </si>
  <si>
    <t>claudimir.marins@gmail.com</t>
  </si>
  <si>
    <t>442.089.528-49</t>
  </si>
  <si>
    <t>GFG4454</t>
  </si>
  <si>
    <t>Indesign Arquitetura Ltda (Vanessa sap ind Fabricio)</t>
  </si>
  <si>
    <t>43 35346111</t>
  </si>
  <si>
    <t>43 984587357</t>
  </si>
  <si>
    <t>vanessaop@hotmail.com</t>
  </si>
  <si>
    <t>15.800.641/0001-06</t>
  </si>
  <si>
    <t>SED0H41</t>
  </si>
  <si>
    <t>Elisangela Chimbida Ind Felipe</t>
  </si>
  <si>
    <t>QAE5E09</t>
  </si>
  <si>
    <t>Arnaldo Krelling (Véio)</t>
  </si>
  <si>
    <t>41 33080274</t>
  </si>
  <si>
    <t>41 99993484</t>
  </si>
  <si>
    <t>arnaldokrelling@yahoo.com.br</t>
  </si>
  <si>
    <t>248.497.909-68</t>
  </si>
  <si>
    <t>RXK6J01</t>
  </si>
  <si>
    <t>Patricia Pereira Kotaka (Condutora Tati Filha ind. Jorge)</t>
  </si>
  <si>
    <t>41 30233472</t>
  </si>
  <si>
    <t>41 998185050</t>
  </si>
  <si>
    <t>tatianankotaka@gmail.com</t>
  </si>
  <si>
    <t>853.506.489-34</t>
  </si>
  <si>
    <t>FOI7985</t>
  </si>
  <si>
    <t>Anaclete Beti</t>
  </si>
  <si>
    <t>41 992442309</t>
  </si>
  <si>
    <t>anderson@abscontabilidade.com.br</t>
  </si>
  <si>
    <t>706.654.789-68</t>
  </si>
  <si>
    <t>GIE9H27</t>
  </si>
  <si>
    <t>Adelmo Luiz Yunes Lunardi ( Toro)</t>
  </si>
  <si>
    <t>41 991819005</t>
  </si>
  <si>
    <t>adelmoyunes@yahoo.com.br</t>
  </si>
  <si>
    <t>488.611.039-87</t>
  </si>
  <si>
    <t>Perfecta Telecom Serviços De Comunicações Ltda (Paraiba Turma Renato)</t>
  </si>
  <si>
    <t>41 984072720</t>
  </si>
  <si>
    <t>valdinei@perfectatelecom.com.br</t>
  </si>
  <si>
    <t>13.543.431/0001-46</t>
  </si>
  <si>
    <t>IZI8E52</t>
  </si>
  <si>
    <t>Luciano Cassas de Oliveira (Seguro Caminhão)</t>
  </si>
  <si>
    <t>41 33823877</t>
  </si>
  <si>
    <t>41 991779536</t>
  </si>
  <si>
    <t>floriculturacitronela@gmail.com</t>
  </si>
  <si>
    <t>037.969.599-54</t>
  </si>
  <si>
    <t>AWO1200</t>
  </si>
  <si>
    <t>Procopio Industria e Comercio Ltda</t>
  </si>
  <si>
    <t>41 988488808</t>
  </si>
  <si>
    <t>41 999702356</t>
  </si>
  <si>
    <t>solange.fonseca@procopio.com.br</t>
  </si>
  <si>
    <t>ESSO ASAS</t>
  </si>
  <si>
    <t>76.642.891/0001-41</t>
  </si>
  <si>
    <r>
      <t xml:space="preserve">Vaz Promoção De Vendas Ltda (Liliane Esposa Marlon Wandeco) </t>
    </r>
    <r>
      <rPr>
        <sz val="10"/>
        <color rgb="FFFF0000"/>
        <rFont val="Arial"/>
        <family val="2"/>
      </rPr>
      <t>Uso Comercial</t>
    </r>
  </si>
  <si>
    <t>41 998801810</t>
  </si>
  <si>
    <t>lilianevazsilva@gmail.com</t>
  </si>
  <si>
    <t>097.999.579-58</t>
  </si>
  <si>
    <t>BES4C46</t>
  </si>
  <si>
    <t>Marcia Regina Krelling Zandonay (Filha Arnaldo)</t>
  </si>
  <si>
    <t>41 996031063</t>
  </si>
  <si>
    <t>criscaraiba@yahoo.com.br</t>
  </si>
  <si>
    <t>039.225.839-03</t>
  </si>
  <si>
    <t>BAP5306</t>
  </si>
  <si>
    <t>Acrom Agroindustrial Ltda (Condutor Tania "Chines Jorge" Ind Andre Primo)</t>
  </si>
  <si>
    <t>31 997668585</t>
  </si>
  <si>
    <t>tania@acrom-group.com</t>
  </si>
  <si>
    <t>18.272.938/0001-26</t>
  </si>
  <si>
    <t>BDN0B45</t>
  </si>
  <si>
    <t>La Costa Corretora (Kadett) Thiago Principal condutor</t>
  </si>
  <si>
    <t>41 30761054</t>
  </si>
  <si>
    <t>luciano@lacostacorretora.com.br</t>
  </si>
  <si>
    <t>AHF5G45</t>
  </si>
  <si>
    <t xml:space="preserve">Sebastiao Paulino França (sap) Irmao </t>
  </si>
  <si>
    <t>41 33295327</t>
  </si>
  <si>
    <t>41 996042803</t>
  </si>
  <si>
    <t>sebafranca@yahoo.com.br</t>
  </si>
  <si>
    <t>075.983.789-91</t>
  </si>
  <si>
    <t>AUS7664</t>
  </si>
  <si>
    <t>Felipe Krulikowski (Ap Rua 226)</t>
  </si>
  <si>
    <t>Floricultura Citronela Ltda (Luciano Cassas Parati)</t>
  </si>
  <si>
    <t>41 33456068</t>
  </si>
  <si>
    <t>12.149.436/0001-26</t>
  </si>
  <si>
    <t>ALG0916</t>
  </si>
  <si>
    <t>Carlos Pedroso França ( Corsa )</t>
  </si>
  <si>
    <t>AVD1E43</t>
  </si>
  <si>
    <t>Fernanda Dos Santos (esposa Alex Vasta)</t>
  </si>
  <si>
    <t>41 33281500</t>
  </si>
  <si>
    <t>41 991355420</t>
  </si>
  <si>
    <t>fersantospersonal@gmail.com</t>
  </si>
  <si>
    <t>034.313.259-12</t>
  </si>
  <si>
    <t>FCD-2G84</t>
  </si>
  <si>
    <r>
      <t xml:space="preserve">Rogerio Medeiros </t>
    </r>
    <r>
      <rPr>
        <sz val="10"/>
        <color rgb="FFFF0000"/>
        <rFont val="Arial"/>
        <family val="2"/>
      </rPr>
      <t>( Com cobertura para 18 a 25 anos)</t>
    </r>
  </si>
  <si>
    <t>41 34029213</t>
  </si>
  <si>
    <t>BBR3257</t>
  </si>
  <si>
    <t xml:space="preserve">Rosangela Bussolin Dias </t>
  </si>
  <si>
    <t>41 991384646</t>
  </si>
  <si>
    <t>529.089.929-49</t>
  </si>
  <si>
    <t>TAT3G44</t>
  </si>
  <si>
    <t>Marco Antonio Koteski</t>
  </si>
  <si>
    <t>41 32666373</t>
  </si>
  <si>
    <t>41 997156370</t>
  </si>
  <si>
    <t>marinicegomesesilva@gmail.com</t>
  </si>
  <si>
    <t>923.169.309-30</t>
  </si>
  <si>
    <t>BCZ2811</t>
  </si>
  <si>
    <t>Neusa Dias Ferreira (Mãe Davi ind preto)</t>
  </si>
  <si>
    <t>41 999449510</t>
  </si>
  <si>
    <t>daviddferreira93@gmail.com</t>
  </si>
  <si>
    <t>796.344.609-25</t>
  </si>
  <si>
    <t>AXS8320</t>
  </si>
  <si>
    <t>Condominio Edificio Sonia Maria (predio praia Simone Rocha)</t>
  </si>
  <si>
    <t>41 997473410</t>
  </si>
  <si>
    <t>cristianeoliveirarocha@gmail.com</t>
  </si>
  <si>
    <t>01.837.183/0001-67</t>
  </si>
  <si>
    <t>Heloisa Helena Pacheco esposa alexandre sarda (Condutora Filha)</t>
  </si>
  <si>
    <t>AZM6828</t>
  </si>
  <si>
    <t>Tathyane Iaros (Volvo) XP</t>
  </si>
  <si>
    <t>41 996080816</t>
  </si>
  <si>
    <t>tiaros2121@gmail.com</t>
  </si>
  <si>
    <t>035.134.819-00</t>
  </si>
  <si>
    <t>BAI6B16</t>
  </si>
  <si>
    <t>Eduardo Matsumassa Ono (Cliente site Tokio visinho)</t>
  </si>
  <si>
    <t>41 996812678</t>
  </si>
  <si>
    <t>eduardo_ono8@msn.com</t>
  </si>
  <si>
    <t>713.572.039-34</t>
  </si>
  <si>
    <t>SEE2I67</t>
  </si>
  <si>
    <t>Alice Aparecida Volpe Da Cruz</t>
  </si>
  <si>
    <t>41 999489131</t>
  </si>
  <si>
    <t>alicecruzc6@gmail.com</t>
  </si>
  <si>
    <t>676.364.469-87</t>
  </si>
  <si>
    <t>Eduardo Andrade Possebom</t>
  </si>
  <si>
    <t>Luiz Carlos Martins (Tio Luiz Moto)</t>
  </si>
  <si>
    <t>RJR1J75</t>
  </si>
  <si>
    <t>Pedro Paulo Assunção De Andrade ( cliente site porto)</t>
  </si>
  <si>
    <t>pedropaulo.gper@gmail.com</t>
  </si>
  <si>
    <t>MOBILIDADE E ACESSIBILIDADE</t>
  </si>
  <si>
    <t>Jose Gilberto Moro (GIBA)</t>
  </si>
  <si>
    <t>41 995000566</t>
  </si>
  <si>
    <t>morojosegilberto@gmail.com</t>
  </si>
  <si>
    <t>020.852.189-54</t>
  </si>
  <si>
    <t>AFW1150</t>
  </si>
  <si>
    <r>
      <t xml:space="preserve">Camila Podolan de Lara Portes </t>
    </r>
    <r>
      <rPr>
        <sz val="10"/>
        <color rgb="FFFF0000"/>
        <rFont val="Arial"/>
        <family val="2"/>
      </rPr>
      <t>(Hilux Curuja condotor)</t>
    </r>
  </si>
  <si>
    <t>41 3262 7521</t>
  </si>
  <si>
    <t>41 988214194</t>
  </si>
  <si>
    <t>sinteseproteses@hotmail.com</t>
  </si>
  <si>
    <t>006.950.629-99</t>
  </si>
  <si>
    <t>ACZ6F75</t>
  </si>
  <si>
    <r>
      <t>Marcelo Roberto Fossatti (</t>
    </r>
    <r>
      <rPr>
        <sz val="10"/>
        <color rgb="FFFF0000"/>
        <rFont val="Arial"/>
        <family val="2"/>
      </rPr>
      <t>Pulse Abarth DUDU</t>
    </r>
    <r>
      <rPr>
        <sz val="10"/>
        <rFont val="Arial"/>
        <family val="2"/>
      </rPr>
      <t>)</t>
    </r>
  </si>
  <si>
    <t>eduardo.fossatti617@gmail.com</t>
  </si>
  <si>
    <t>804.963.189-34</t>
  </si>
  <si>
    <t>SFA4E31</t>
  </si>
  <si>
    <t>Regina Gavronski Lopes Saad (Ind Tathyane Iaros XP)</t>
  </si>
  <si>
    <t>41 992557058</t>
  </si>
  <si>
    <t>reginaglopes@gmail.com</t>
  </si>
  <si>
    <t>034.285.289-21</t>
  </si>
  <si>
    <t>BEG0815</t>
  </si>
  <si>
    <r>
      <t xml:space="preserve">Edson Jofre Amorim Lorenzi (Cronos </t>
    </r>
    <r>
      <rPr>
        <sz val="10"/>
        <color rgb="FFFF0000"/>
        <rFont val="Arial"/>
        <family val="2"/>
      </rPr>
      <t>Uso comercial</t>
    </r>
    <r>
      <rPr>
        <sz val="10"/>
        <rFont val="Arial"/>
        <family val="2"/>
      </rPr>
      <t xml:space="preserve"> Funcionario </t>
    </r>
    <r>
      <rPr>
        <sz val="10"/>
        <color rgb="FFFF0000"/>
        <rFont val="Arial"/>
        <family val="2"/>
      </rPr>
      <t>Marcelo Fossatti</t>
    </r>
    <r>
      <rPr>
        <sz val="10"/>
        <rFont val="Arial"/>
        <family val="2"/>
      </rPr>
      <t>)</t>
    </r>
  </si>
  <si>
    <t>048.627.829-81</t>
  </si>
  <si>
    <t>UBB1G93</t>
  </si>
  <si>
    <t>Natielle De Carvalho Rodrigues (Prima esposa Guilherme Primo)</t>
  </si>
  <si>
    <t>43 35346222</t>
  </si>
  <si>
    <t>BAK6F67</t>
  </si>
  <si>
    <t>Monica Regina Kupka (Ap Praia)</t>
  </si>
  <si>
    <t>Felipe Krulikowski (Seguro 2 Apartamentos)</t>
  </si>
  <si>
    <t>Aldair José Da Silva</t>
  </si>
  <si>
    <t>41 998890403</t>
  </si>
  <si>
    <t>aldair988686454@gmail.com</t>
  </si>
  <si>
    <t>962.727.839-49</t>
  </si>
  <si>
    <t>MKF8201</t>
  </si>
  <si>
    <t>Alice Aparecida volpe da Cruz ( Camioneta L 200 Triton)</t>
  </si>
  <si>
    <t>41 33569277</t>
  </si>
  <si>
    <t>BBV7I96</t>
  </si>
  <si>
    <t>Claudimir Tafner Marins ( PAI RAFA ATLAS COPCO)</t>
  </si>
  <si>
    <t>554.326.038-53</t>
  </si>
  <si>
    <t>Flavio Andrade da Silva</t>
  </si>
  <si>
    <t>47 996281929</t>
  </si>
  <si>
    <t>flavioandraderh@gmail.com</t>
  </si>
  <si>
    <t>037.465.439-59</t>
  </si>
  <si>
    <t>RYX3D15</t>
  </si>
  <si>
    <t>Mirna Jaqueline De Lima Galcalves Pereira</t>
  </si>
  <si>
    <t>41 991440429</t>
  </si>
  <si>
    <t>kaizenmontagens@gmail.com</t>
  </si>
  <si>
    <t>028.685.839-89</t>
  </si>
  <si>
    <t>BAI6C25</t>
  </si>
  <si>
    <t>Fernando Cezar Moreira ( Leonardo)</t>
  </si>
  <si>
    <t>41 30158907</t>
  </si>
  <si>
    <t>41 995915511</t>
  </si>
  <si>
    <t>fcmmoreira@hotmail.com</t>
  </si>
  <si>
    <t>358.046.619-49</t>
  </si>
  <si>
    <t>AOG3555</t>
  </si>
  <si>
    <t>Rafael Lopes Marins</t>
  </si>
  <si>
    <t>11 959200896</t>
  </si>
  <si>
    <t>rlmarins@gmail.com</t>
  </si>
  <si>
    <t>338.191.848-64</t>
  </si>
  <si>
    <r>
      <t xml:space="preserve">Raymundo Fernandes </t>
    </r>
    <r>
      <rPr>
        <sz val="10"/>
        <color rgb="FFFF0000"/>
        <rFont val="Arial"/>
        <family val="2"/>
      </rPr>
      <t>(3 casas) (Pai Karina Bradesco)</t>
    </r>
  </si>
  <si>
    <t>41 998550040</t>
  </si>
  <si>
    <t>karinazip@gmail.com</t>
  </si>
  <si>
    <t>352.155.269-15</t>
  </si>
  <si>
    <t>Marcus Ney Pinheiro (Esposo Stael Ind. Simine Pisante)</t>
  </si>
  <si>
    <t>41 987309292</t>
  </si>
  <si>
    <t>staell@gmail.com</t>
  </si>
  <si>
    <t>082.844.367-01</t>
  </si>
  <si>
    <t>Luciana Peixoto Mezzadri (esposa Luciano Cassas)</t>
  </si>
  <si>
    <t>cassascitronela@gmail.com</t>
  </si>
  <si>
    <t>021.213.209-11</t>
  </si>
  <si>
    <t>SFE6J80</t>
  </si>
  <si>
    <t>Marcos Antonio Anginski (Dono minha casa) principal conduto Thiago</t>
  </si>
  <si>
    <t>41 33112781</t>
  </si>
  <si>
    <t>41 991152075</t>
  </si>
  <si>
    <t>timpapelaria@gmail.com</t>
  </si>
  <si>
    <t>978.136.059-34</t>
  </si>
  <si>
    <t>RYW4A45</t>
  </si>
  <si>
    <t>Daiane Cristine Tonolli De Almeida (Funcionaria Fiduma egua)</t>
  </si>
  <si>
    <t>41 995229677</t>
  </si>
  <si>
    <t>daitonolli@gmail.com</t>
  </si>
  <si>
    <t>060.185.029-76</t>
  </si>
  <si>
    <t>BCT2G63</t>
  </si>
  <si>
    <t>Lidiovane Camuri De Souza Lage ( Irmã Luciana Marcelo Cunhado)</t>
  </si>
  <si>
    <t>21 984880598</t>
  </si>
  <si>
    <t>lidicamuri@yahoo.com.br</t>
  </si>
  <si>
    <t>089.241.957-19</t>
  </si>
  <si>
    <t>LMX5H12</t>
  </si>
  <si>
    <t>Rafael Commim Busatto</t>
  </si>
  <si>
    <t>41 999620333</t>
  </si>
  <si>
    <t xml:space="preserve">Rodrigo Da Silva Soranco Moto Hornet </t>
  </si>
  <si>
    <t>41 996035654</t>
  </si>
  <si>
    <t>rodrigosoranco@hotmail.com</t>
  </si>
  <si>
    <t>071.940.499-10</t>
  </si>
  <si>
    <t>ABJ1I89</t>
  </si>
  <si>
    <t>19 25132541</t>
  </si>
  <si>
    <t>11 95920 0896</t>
  </si>
  <si>
    <t>FLQ4H63</t>
  </si>
  <si>
    <t>Pamela Cristina Silveira de Sene</t>
  </si>
  <si>
    <t>41 98699133</t>
  </si>
  <si>
    <t>41 991679588</t>
  </si>
  <si>
    <t>adm@woltengenharia.com.br</t>
  </si>
  <si>
    <t>073.335.819-50</t>
  </si>
  <si>
    <t>QNK6D18</t>
  </si>
  <si>
    <t>Marta Lodi (Sogrinha)</t>
  </si>
  <si>
    <t>41 995409982</t>
  </si>
  <si>
    <t>olegarioana04@gmail.com</t>
  </si>
  <si>
    <t>031.003.319-58</t>
  </si>
  <si>
    <t>Sebastião Paulino França</t>
  </si>
  <si>
    <r>
      <t>Patricia Kruger Sakagami (</t>
    </r>
    <r>
      <rPr>
        <sz val="10"/>
        <color rgb="FFFF0000"/>
        <rFont val="Arial"/>
        <family val="2"/>
      </rPr>
      <t>Condutora Marlene</t>
    </r>
    <r>
      <rPr>
        <sz val="10"/>
        <rFont val="Arial"/>
        <family val="2"/>
      </rPr>
      <t>)</t>
    </r>
  </si>
  <si>
    <t>41 996866236</t>
  </si>
  <si>
    <t>marlene@ysadigital.com.br</t>
  </si>
  <si>
    <t>007.928.219-98</t>
  </si>
  <si>
    <t>BAG3G17</t>
  </si>
  <si>
    <t>R M De Souza Ltda Me (Frota Rafa Compadre)</t>
  </si>
  <si>
    <t>05.868.603/0001-23</t>
  </si>
  <si>
    <t>FROTA</t>
  </si>
  <si>
    <t>Acrom Agroindustrial Ltda</t>
  </si>
  <si>
    <t>RSB6I65</t>
  </si>
  <si>
    <t>Chayane Evelis Costa</t>
  </si>
  <si>
    <t>41 996226202</t>
  </si>
  <si>
    <t>chayaneevelis@hotmail.com</t>
  </si>
  <si>
    <t>042.336.929-60</t>
  </si>
  <si>
    <t>Eraldo Soares Silva Junior (Turma Renato)</t>
  </si>
  <si>
    <t>41 997010203</t>
  </si>
  <si>
    <t>heralddinho@gmail.com</t>
  </si>
  <si>
    <t>329.682.768-40</t>
  </si>
  <si>
    <t>UBH9I24</t>
  </si>
  <si>
    <t>Camila Podolan de Lara Portes</t>
  </si>
  <si>
    <t>41 987364037</t>
  </si>
  <si>
    <t>sinteseproteses@gmail.com</t>
  </si>
  <si>
    <t>ACS6523</t>
  </si>
  <si>
    <t>Ricardo Da Costa Nazario XP Creta (Esposa Condutora)</t>
  </si>
  <si>
    <t>41 988473760</t>
  </si>
  <si>
    <t>rcn_06@hotmail.com</t>
  </si>
  <si>
    <t>053.726.719-04</t>
  </si>
  <si>
    <t>TBQ1B21</t>
  </si>
  <si>
    <t>TGL- Torati Gestão Logistica Ltda (Lenandro Pai Gustavo Julia)</t>
  </si>
  <si>
    <t>41 988179286</t>
  </si>
  <si>
    <t>tgl@toratigestaologistica.com.br</t>
  </si>
  <si>
    <t>51.727.732/0001-19</t>
  </si>
  <si>
    <t>BDA4J32</t>
  </si>
  <si>
    <t>Angela Karine Krelling (Filha Arnaldo Véio )</t>
  </si>
  <si>
    <t>angela.k.krelling@gmail.com</t>
  </si>
  <si>
    <t>BDU9J29</t>
  </si>
  <si>
    <t xml:space="preserve">Ricardo Da Costa Narazio (carro proprio )XP </t>
  </si>
  <si>
    <t>AZH1I17</t>
  </si>
  <si>
    <t>Simone Mendes Kowalek  (Ind Maia)</t>
  </si>
  <si>
    <t>47 996323795</t>
  </si>
  <si>
    <t>simonekowalek@gmail.com</t>
  </si>
  <si>
    <t>028.514.219-48</t>
  </si>
  <si>
    <t>QNK3B90</t>
  </si>
  <si>
    <t>Isabel Enes De Melo (Condutor Emili Ind Dauana)</t>
  </si>
  <si>
    <t>41 996220711</t>
  </si>
  <si>
    <t>emililima81@gmail.com</t>
  </si>
  <si>
    <t>171.187.229-07</t>
  </si>
  <si>
    <t>TBW7F28</t>
  </si>
  <si>
    <t>Fvm  Oftalmologia Ltda ( Percio XP)</t>
  </si>
  <si>
    <t>41 999630416</t>
  </si>
  <si>
    <t>flaviav_m@yahoo.com.br</t>
  </si>
  <si>
    <t>56.442.381/0001-13</t>
  </si>
  <si>
    <t>SEY3B96</t>
  </si>
  <si>
    <t>Jefferson Luiz Santana (Ind. Ademir Visinho)</t>
  </si>
  <si>
    <t>41 987253871</t>
  </si>
  <si>
    <t>41 998457504</t>
  </si>
  <si>
    <t>elianapaula@gmail.com</t>
  </si>
  <si>
    <t>029.421.819-07</t>
  </si>
  <si>
    <t>AZS1C92</t>
  </si>
  <si>
    <t>Guilherme Garcia Pasqual ( Xp )</t>
  </si>
  <si>
    <t>41 999233836</t>
  </si>
  <si>
    <t>guilhermepasqual@hotmail.com</t>
  </si>
  <si>
    <t>048.367.549-09</t>
  </si>
  <si>
    <t>RHK1I94</t>
  </si>
  <si>
    <t>Eduardo Andrade Possebom (BYD)</t>
  </si>
  <si>
    <t>eduardo_A_possebom@hotmail.com</t>
  </si>
  <si>
    <t>RYL6I24</t>
  </si>
  <si>
    <t>Ailton Rosa Soares (Bill Debora seguro moto)</t>
  </si>
  <si>
    <t>soaresailton@yahoo.com.br</t>
  </si>
  <si>
    <t>BEQ9F32</t>
  </si>
  <si>
    <t>Alice Aparecida Volpe Da Cruz ( Moto)</t>
  </si>
  <si>
    <t>FYT1C21</t>
  </si>
  <si>
    <t>Thiago Henrique Torres Anginski ( Moto Filho Marcos dono casa)</t>
  </si>
  <si>
    <t>thiagothoresa@gmail.com</t>
  </si>
  <si>
    <t>Felipe Vicelli Castelo Campos</t>
  </si>
  <si>
    <t>41 992182902</t>
  </si>
  <si>
    <t>felps617@outlook.com.br</t>
  </si>
  <si>
    <t>095.623.149-79</t>
  </si>
  <si>
    <t>FAO4143</t>
  </si>
  <si>
    <t>RYC9F18</t>
  </si>
  <si>
    <t>Pizzaria Mister Giuseppe Ltda ( Empresarial)</t>
  </si>
  <si>
    <t>Dancold Comercio Manutenção e instalação De Ar Condicionado Ltda (Frota)</t>
  </si>
  <si>
    <t>41 991210905</t>
  </si>
  <si>
    <t>comercial@dancold.com.br</t>
  </si>
  <si>
    <t>Amauri Cabrini De Almeida ( Frank ind renato)</t>
  </si>
  <si>
    <t>41 996257112</t>
  </si>
  <si>
    <t>amauricabrini@hotmail.com</t>
  </si>
  <si>
    <t>814.300.789-87</t>
  </si>
  <si>
    <t>AYH2284</t>
  </si>
  <si>
    <t xml:space="preserve">Alice Aparecida Volpe Da Cruz </t>
  </si>
  <si>
    <t>41 99948 9131</t>
  </si>
  <si>
    <t>TAY9C97</t>
  </si>
  <si>
    <t>Doris Mara Pasta Ramos ( Esposa Reynaldo Engeluz)</t>
  </si>
  <si>
    <t>41 992214898</t>
  </si>
  <si>
    <t>doris.mara01@hotmail.com</t>
  </si>
  <si>
    <t>275.182.569-91</t>
  </si>
  <si>
    <t>BDP5G65</t>
  </si>
  <si>
    <t>Silvia Renata Da Costa Lucindo</t>
  </si>
  <si>
    <t>Nauta Cristina De Moura (Cunhada Chaves)</t>
  </si>
  <si>
    <t>41 992824476</t>
  </si>
  <si>
    <t>nautacristina99@gmail.com</t>
  </si>
  <si>
    <t>AZU1629</t>
  </si>
  <si>
    <t>Rogerio Nekipa ( Carol esposa condutora)</t>
  </si>
  <si>
    <t>41 996359784</t>
  </si>
  <si>
    <t>41 998992878</t>
  </si>
  <si>
    <t>rogerio_nekipa@hotmail.com</t>
  </si>
  <si>
    <t>066.519.779-97</t>
  </si>
  <si>
    <t>BCI5F79</t>
  </si>
  <si>
    <t>Silvia Maria Balbinotti (Ind. Luciana Catapam)</t>
  </si>
  <si>
    <t>41 999270750</t>
  </si>
  <si>
    <t>silviabalbinottikoraleski@gmail.com</t>
  </si>
  <si>
    <t>022.971.279-79</t>
  </si>
  <si>
    <t>0HB4C29</t>
  </si>
  <si>
    <t>Cristiano Rodrigo Zandonay (Genrro Arnaldo)</t>
  </si>
  <si>
    <t>036.179.009-09</t>
  </si>
  <si>
    <t>Leonardo Avila De Mattos (Moto Himalayan)</t>
  </si>
  <si>
    <t>SFE1J18</t>
  </si>
  <si>
    <t>Luiza Maria Cardoso Ribeiro ( Mãe Ana RibeiroPrincipal condutora ind. gustavo)</t>
  </si>
  <si>
    <t>41 32567690</t>
  </si>
  <si>
    <t>41 988587854</t>
  </si>
  <si>
    <t>anaribeiro.nutricionista@gmail.com</t>
  </si>
  <si>
    <t>045.380.869-75</t>
  </si>
  <si>
    <t>AVR1370</t>
  </si>
  <si>
    <t>Stela Maris Doubek Motta ( Stela Rose Salão)</t>
  </si>
  <si>
    <t>41 999911605</t>
  </si>
  <si>
    <t>smdmotta@yahoo.com.br</t>
  </si>
  <si>
    <t>302.368.279-87</t>
  </si>
  <si>
    <t>Solano Greco dos Santos Castro</t>
  </si>
  <si>
    <t>41 30357002</t>
  </si>
  <si>
    <t>41 997101077</t>
  </si>
  <si>
    <t>solanogreco@hotmail.com</t>
  </si>
  <si>
    <t>850.596.099-87</t>
  </si>
  <si>
    <t>FIM3F51</t>
  </si>
  <si>
    <t>Ana Maria Jarek Silvestrin (BMW Larry)</t>
  </si>
  <si>
    <t>41 992359322</t>
  </si>
  <si>
    <t>larriks@hotmail.com</t>
  </si>
  <si>
    <t>536.285.439-91</t>
  </si>
  <si>
    <t>AJM3I49</t>
  </si>
  <si>
    <t>Silvia Renata Da Costa Lucindo (Moto)</t>
  </si>
  <si>
    <t>ANI0J42</t>
  </si>
  <si>
    <t>Mercado Zanettte Ltda (Victor Hugo Ind William Jaque)</t>
  </si>
  <si>
    <t>41 35560901</t>
  </si>
  <si>
    <t>41 992461029</t>
  </si>
  <si>
    <t>victor.h.barbosa@hotmail.com</t>
  </si>
  <si>
    <t>03.216.253/0001-95</t>
  </si>
  <si>
    <t>TBD3D45</t>
  </si>
  <si>
    <t>Mjm Cobranças e Comercio de Veículos Ltda ( Cortes Junior)</t>
  </si>
  <si>
    <t>41 999113090</t>
  </si>
  <si>
    <t>junior@brasinvest.adm.br</t>
  </si>
  <si>
    <t>09.052.277/0001-32</t>
  </si>
  <si>
    <t>SEN1F54</t>
  </si>
  <si>
    <t>Gilmar Ferreira Da Rocha (Site Tokio seguro 3 nos)</t>
  </si>
  <si>
    <t>41 999053353</t>
  </si>
  <si>
    <t>rochagill25@gmail.com</t>
  </si>
  <si>
    <t>689.340.419-00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</si>
</sst>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&quot;R$&quot;\ #,##0.00"/>
    <numFmt numFmtId="166" formatCode="dd/mm/yy;@"/>
  </numFmts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3" fillId="0" borderId="0"/>
  </cellStyleXfs>
  <cellXfs count="27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164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14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165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49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right"/>
      <protection locked="0"/>
    </xf>
    <xf numFmtId="49" fontId="1" fillId="0" borderId="0" xfId="1" applyNumberFormat="1" applyAlignment="1" applyProtection="1">
      <protection locked="0"/>
    </xf>
    <xf numFmtId="1" fontId="3" fillId="0" borderId="0" xfId="0" applyNumberFormat="1" applyFont="1" applyProtection="1">
      <protection locked="0"/>
    </xf>
    <xf numFmtId="0" fontId="3" fillId="0" borderId="0" xfId="2" applyFont="1" applyAlignment="1">
      <alignment horizontal="left"/>
    </xf>
    <xf numFmtId="166" fontId="3" fillId="0" borderId="0" xfId="0" applyNumberFormat="1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49" fontId="5" fillId="0" borderId="0" xfId="0" applyNumberFormat="1" applyFont="1" applyProtection="1">
      <protection locked="0"/>
    </xf>
    <xf numFmtId="14" fontId="3" fillId="0" borderId="0" xfId="3" applyNumberFormat="1" applyAlignment="1" applyProtection="1">
      <alignment horizontal="right"/>
      <protection locked="0"/>
    </xf>
    <xf numFmtId="0" fontId="3" fillId="0" borderId="0" xfId="0" applyFon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left"/>
      <protection locked="0"/>
    </xf>
    <xf numFmtId="1" fontId="3" fillId="0" borderId="0" xfId="0" quotePrefix="1" applyNumberFormat="1" applyFont="1" applyProtection="1">
      <protection locked="0"/>
    </xf>
  </cellXfs>
  <cellStyles count="4">
    <cellStyle name="Hiperlink" xfId="1" builtinId="8"/>
    <cellStyle name="Normal" xfId="0" builtinId="0"/>
    <cellStyle name="Normal 2" xfId="3" xr:uid="{B773F8CE-A14D-D141-9091-F968C7500CF6}"/>
    <cellStyle name="Normal 3" xfId="2" xr:uid="{9F110FB0-DBD6-5143-8D6F-4CF7A8667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armaciahc2006@hotmail.com" TargetMode="External"/><Relationship Id="rId21" Type="http://schemas.openxmlformats.org/officeDocument/2006/relationships/hyperlink" Target="mailto:reynaldo.filho@engeluz.com.br" TargetMode="External"/><Relationship Id="rId42" Type="http://schemas.openxmlformats.org/officeDocument/2006/relationships/hyperlink" Target="mailto:alicecruzc6@gmail.com" TargetMode="External"/><Relationship Id="rId63" Type="http://schemas.openxmlformats.org/officeDocument/2006/relationships/hyperlink" Target="mailto:angela.k.krelling@gmail.com" TargetMode="External"/><Relationship Id="rId84" Type="http://schemas.openxmlformats.org/officeDocument/2006/relationships/hyperlink" Target="mailto:silviabalbinottikoraleski@gmail.com" TargetMode="External"/><Relationship Id="rId138" Type="http://schemas.openxmlformats.org/officeDocument/2006/relationships/hyperlink" Target="mailto:brunozechel@hotmail.com" TargetMode="External"/><Relationship Id="rId159" Type="http://schemas.openxmlformats.org/officeDocument/2006/relationships/hyperlink" Target="mailto:luiz.seguro@gmail.com" TargetMode="External"/><Relationship Id="rId170" Type="http://schemas.openxmlformats.org/officeDocument/2006/relationships/hyperlink" Target="mailto:ppfesta.plus@hotmail.com" TargetMode="External"/><Relationship Id="rId191" Type="http://schemas.openxmlformats.org/officeDocument/2006/relationships/hyperlink" Target="mailto:edificiosanthiago430@gmail.com" TargetMode="External"/><Relationship Id="rId205" Type="http://schemas.openxmlformats.org/officeDocument/2006/relationships/hyperlink" Target="mailto:suzimericristina.1984@gmail.com" TargetMode="External"/><Relationship Id="rId226" Type="http://schemas.openxmlformats.org/officeDocument/2006/relationships/hyperlink" Target="mailto:tania@acrom-group.com" TargetMode="External"/><Relationship Id="rId247" Type="http://schemas.openxmlformats.org/officeDocument/2006/relationships/hyperlink" Target="mailto:eduardo_A_possebom@hotmail.com" TargetMode="External"/><Relationship Id="rId107" Type="http://schemas.openxmlformats.org/officeDocument/2006/relationships/hyperlink" Target="mailto:elisangelachmoreira@hotmail.com" TargetMode="External"/><Relationship Id="rId11" Type="http://schemas.openxmlformats.org/officeDocument/2006/relationships/hyperlink" Target="mailto:eduardo.fossatti617@gmail.com" TargetMode="External"/><Relationship Id="rId32" Type="http://schemas.openxmlformats.org/officeDocument/2006/relationships/hyperlink" Target="mailto:francis.lopes777@gmail.com" TargetMode="External"/><Relationship Id="rId53" Type="http://schemas.openxmlformats.org/officeDocument/2006/relationships/hyperlink" Target="mailto:renatoalves_19@yahoo.com.br" TargetMode="External"/><Relationship Id="rId74" Type="http://schemas.openxmlformats.org/officeDocument/2006/relationships/hyperlink" Target="mailto:Guilatoh@outlook.com" TargetMode="External"/><Relationship Id="rId128" Type="http://schemas.openxmlformats.org/officeDocument/2006/relationships/hyperlink" Target="mailto:rafol_rodrigues@hotmail.com" TargetMode="External"/><Relationship Id="rId149" Type="http://schemas.openxmlformats.org/officeDocument/2006/relationships/hyperlink" Target="mailto:andreemersondasilva@gmail.com" TargetMode="External"/><Relationship Id="rId5" Type="http://schemas.openxmlformats.org/officeDocument/2006/relationships/hyperlink" Target="mailto:yuri_25_007@hotmail.com" TargetMode="External"/><Relationship Id="rId95" Type="http://schemas.openxmlformats.org/officeDocument/2006/relationships/hyperlink" Target="mailto:timpapelaria@gmail.com" TargetMode="External"/><Relationship Id="rId160" Type="http://schemas.openxmlformats.org/officeDocument/2006/relationships/hyperlink" Target="mailto:andrepetrechi.adv@gmail.com" TargetMode="External"/><Relationship Id="rId181" Type="http://schemas.openxmlformats.org/officeDocument/2006/relationships/hyperlink" Target="mailto:mfrepr@gmail.com" TargetMode="External"/><Relationship Id="rId216" Type="http://schemas.openxmlformats.org/officeDocument/2006/relationships/hyperlink" Target="mailto:thiago@lacostacorretora.com.br" TargetMode="External"/><Relationship Id="rId237" Type="http://schemas.openxmlformats.org/officeDocument/2006/relationships/hyperlink" Target="mailto:tania@acrom-group.com" TargetMode="External"/><Relationship Id="rId22" Type="http://schemas.openxmlformats.org/officeDocument/2006/relationships/hyperlink" Target="mailto:ademir-santos1957@bol.com.br" TargetMode="External"/><Relationship Id="rId43" Type="http://schemas.openxmlformats.org/officeDocument/2006/relationships/hyperlink" Target="mailto:rlmarins@gmail.com" TargetMode="External"/><Relationship Id="rId64" Type="http://schemas.openxmlformats.org/officeDocument/2006/relationships/hyperlink" Target="mailto:elianapaula@gmail.com" TargetMode="External"/><Relationship Id="rId118" Type="http://schemas.openxmlformats.org/officeDocument/2006/relationships/hyperlink" Target="mailto:contato@residencialamorevida.com.br" TargetMode="External"/><Relationship Id="rId139" Type="http://schemas.openxmlformats.org/officeDocument/2006/relationships/hyperlink" Target="mailto:julianakotaka@gmail.com" TargetMode="External"/><Relationship Id="rId85" Type="http://schemas.openxmlformats.org/officeDocument/2006/relationships/hyperlink" Target="mailto:renatoalves_19@yahoo.com.br" TargetMode="External"/><Relationship Id="rId150" Type="http://schemas.openxmlformats.org/officeDocument/2006/relationships/hyperlink" Target="mailto:brunok.alves.agro@gmail.com" TargetMode="External"/><Relationship Id="rId171" Type="http://schemas.openxmlformats.org/officeDocument/2006/relationships/hyperlink" Target="mailto:rodrigo.rst@gmail.com" TargetMode="External"/><Relationship Id="rId192" Type="http://schemas.openxmlformats.org/officeDocument/2006/relationships/hyperlink" Target="mailto:kell_ar@hotmail.com" TargetMode="External"/><Relationship Id="rId206" Type="http://schemas.openxmlformats.org/officeDocument/2006/relationships/hyperlink" Target="mailto:andersonniz96@gmail.com" TargetMode="External"/><Relationship Id="rId227" Type="http://schemas.openxmlformats.org/officeDocument/2006/relationships/hyperlink" Target="mailto:fe_0@hotmail.com" TargetMode="External"/><Relationship Id="rId12" Type="http://schemas.openxmlformats.org/officeDocument/2006/relationships/hyperlink" Target="mailto:Luciano@lacostacorretora.com.br" TargetMode="External"/><Relationship Id="rId33" Type="http://schemas.openxmlformats.org/officeDocument/2006/relationships/hyperlink" Target="mailto:eduardo_a_possebom@hotmail.com" TargetMode="External"/><Relationship Id="rId108" Type="http://schemas.openxmlformats.org/officeDocument/2006/relationships/hyperlink" Target="mailto:daiadainha@hotmail.com" TargetMode="External"/><Relationship Id="rId129" Type="http://schemas.openxmlformats.org/officeDocument/2006/relationships/hyperlink" Target="mailto:luiz_zardo@hotmail.com" TargetMode="External"/><Relationship Id="rId54" Type="http://schemas.openxmlformats.org/officeDocument/2006/relationships/hyperlink" Target="mailto:apsagae@gmail.com" TargetMode="External"/><Relationship Id="rId75" Type="http://schemas.openxmlformats.org/officeDocument/2006/relationships/hyperlink" Target="mailto:anderson@abscontabilidade.com.br" TargetMode="External"/><Relationship Id="rId96" Type="http://schemas.openxmlformats.org/officeDocument/2006/relationships/hyperlink" Target="mailto:daitonolli@gmail.com" TargetMode="External"/><Relationship Id="rId140" Type="http://schemas.openxmlformats.org/officeDocument/2006/relationships/hyperlink" Target="mailto:lidicamuri@yahoo.com.br" TargetMode="External"/><Relationship Id="rId161" Type="http://schemas.openxmlformats.org/officeDocument/2006/relationships/hyperlink" Target="mailto:fe_0@hotmail.com" TargetMode="External"/><Relationship Id="rId182" Type="http://schemas.openxmlformats.org/officeDocument/2006/relationships/hyperlink" Target="mailto:simonekowalek@gmail.com" TargetMode="External"/><Relationship Id="rId217" Type="http://schemas.openxmlformats.org/officeDocument/2006/relationships/hyperlink" Target="mailto:avenidacafeguarapuava@hotmail.com" TargetMode="External"/><Relationship Id="rId6" Type="http://schemas.openxmlformats.org/officeDocument/2006/relationships/hyperlink" Target="mailto:latohreginaldo@gmail.com" TargetMode="External"/><Relationship Id="rId238" Type="http://schemas.openxmlformats.org/officeDocument/2006/relationships/hyperlink" Target="mailto:chayaneevelis@hotmail.com" TargetMode="External"/><Relationship Id="rId23" Type="http://schemas.openxmlformats.org/officeDocument/2006/relationships/hyperlink" Target="mailto:guisoraster@gmail.com" TargetMode="External"/><Relationship Id="rId119" Type="http://schemas.openxmlformats.org/officeDocument/2006/relationships/hyperlink" Target="mailto:acramrajab@gmail.com" TargetMode="External"/><Relationship Id="rId44" Type="http://schemas.openxmlformats.org/officeDocument/2006/relationships/hyperlink" Target="mailto:claudimir.marins@gmail.com" TargetMode="External"/><Relationship Id="rId65" Type="http://schemas.openxmlformats.org/officeDocument/2006/relationships/hyperlink" Target="mailto:chayaneevelis@hotmail.com" TargetMode="External"/><Relationship Id="rId86" Type="http://schemas.openxmlformats.org/officeDocument/2006/relationships/hyperlink" Target="mailto:leonardoavilademattos@gmail.com" TargetMode="External"/><Relationship Id="rId130" Type="http://schemas.openxmlformats.org/officeDocument/2006/relationships/hyperlink" Target="mailto:luciano@.com.br" TargetMode="External"/><Relationship Id="rId151" Type="http://schemas.openxmlformats.org/officeDocument/2006/relationships/hyperlink" Target="mailto:mateusnne@gmail.com" TargetMode="External"/><Relationship Id="rId172" Type="http://schemas.openxmlformats.org/officeDocument/2006/relationships/hyperlink" Target="mailto:contato@imobiliariacontato.com.br" TargetMode="External"/><Relationship Id="rId193" Type="http://schemas.openxmlformats.org/officeDocument/2006/relationships/hyperlink" Target="mailto:apsarda@hotmail.com" TargetMode="External"/><Relationship Id="rId207" Type="http://schemas.openxmlformats.org/officeDocument/2006/relationships/hyperlink" Target="mailto:vitoriasoranco@icloud.com" TargetMode="External"/><Relationship Id="rId228" Type="http://schemas.openxmlformats.org/officeDocument/2006/relationships/hyperlink" Target="mailto:adelmoyunes@yahoo.com.br" TargetMode="External"/><Relationship Id="rId13" Type="http://schemas.openxmlformats.org/officeDocument/2006/relationships/hyperlink" Target="mailto:tatianankotaka@gmail.com" TargetMode="External"/><Relationship Id="rId109" Type="http://schemas.openxmlformats.org/officeDocument/2006/relationships/hyperlink" Target="mailto:jlandretta@yahoo.com" TargetMode="External"/><Relationship Id="rId34" Type="http://schemas.openxmlformats.org/officeDocument/2006/relationships/hyperlink" Target="mailto:mau.barrera@hotmail.com" TargetMode="External"/><Relationship Id="rId55" Type="http://schemas.openxmlformats.org/officeDocument/2006/relationships/hyperlink" Target="mailto:jeniferotto@hotmail.com" TargetMode="External"/><Relationship Id="rId76" Type="http://schemas.openxmlformats.org/officeDocument/2006/relationships/hyperlink" Target="mailto:floriculturacitronela@gmail.com" TargetMode="External"/><Relationship Id="rId97" Type="http://schemas.openxmlformats.org/officeDocument/2006/relationships/hyperlink" Target="mailto:rogerio_nekipa@hotmail.com" TargetMode="External"/><Relationship Id="rId120" Type="http://schemas.openxmlformats.org/officeDocument/2006/relationships/hyperlink" Target="mailto:vanessaop@hotmail.com" TargetMode="External"/><Relationship Id="rId141" Type="http://schemas.openxmlformats.org/officeDocument/2006/relationships/hyperlink" Target="mailto:pedropaulo.gper@gmail.com" TargetMode="External"/><Relationship Id="rId7" Type="http://schemas.openxmlformats.org/officeDocument/2006/relationships/hyperlink" Target="mailto:ariferraricruz@gmail.com" TargetMode="External"/><Relationship Id="rId162" Type="http://schemas.openxmlformats.org/officeDocument/2006/relationships/hyperlink" Target="mailto:le-agostinho@hotmail.com" TargetMode="External"/><Relationship Id="rId183" Type="http://schemas.openxmlformats.org/officeDocument/2006/relationships/hyperlink" Target="mailto:comercial@dancold.com.br" TargetMode="External"/><Relationship Id="rId218" Type="http://schemas.openxmlformats.org/officeDocument/2006/relationships/hyperlink" Target="mailto:guilherme.martins.adv@hotmail.com" TargetMode="External"/><Relationship Id="rId239" Type="http://schemas.openxmlformats.org/officeDocument/2006/relationships/hyperlink" Target="mailto:heralddinho@gmail.com" TargetMode="External"/><Relationship Id="rId24" Type="http://schemas.openxmlformats.org/officeDocument/2006/relationships/hyperlink" Target="mailto:flavioandraderh@gmail.com" TargetMode="External"/><Relationship Id="rId45" Type="http://schemas.openxmlformats.org/officeDocument/2006/relationships/hyperlink" Target="mailto:fcmmoreira@hotmail.com" TargetMode="External"/><Relationship Id="rId66" Type="http://schemas.openxmlformats.org/officeDocument/2006/relationships/hyperlink" Target="mailto:doris.mara01@hotmail.com" TargetMode="External"/><Relationship Id="rId87" Type="http://schemas.openxmlformats.org/officeDocument/2006/relationships/hyperlink" Target="mailto:fabrinatrentini@remax.com.br" TargetMode="External"/><Relationship Id="rId110" Type="http://schemas.openxmlformats.org/officeDocument/2006/relationships/hyperlink" Target="mailto:clayton.lambert@outlook.com" TargetMode="External"/><Relationship Id="rId131" Type="http://schemas.openxmlformats.org/officeDocument/2006/relationships/hyperlink" Target="mailto:douglascorsico@gmail.com" TargetMode="External"/><Relationship Id="rId152" Type="http://schemas.openxmlformats.org/officeDocument/2006/relationships/hyperlink" Target="mailto:andre@petrechimartins.com.br" TargetMode="External"/><Relationship Id="rId173" Type="http://schemas.openxmlformats.org/officeDocument/2006/relationships/hyperlink" Target="mailto:rudiengenheiro@gmail.com" TargetMode="External"/><Relationship Id="rId194" Type="http://schemas.openxmlformats.org/officeDocument/2006/relationships/hyperlink" Target="mailto:rogerio2medeiros@gmail.com" TargetMode="External"/><Relationship Id="rId208" Type="http://schemas.openxmlformats.org/officeDocument/2006/relationships/hyperlink" Target="mailto:naimacultural@gmail.com" TargetMode="External"/><Relationship Id="rId229" Type="http://schemas.openxmlformats.org/officeDocument/2006/relationships/hyperlink" Target="mailto:apsarda@hotmail.com" TargetMode="External"/><Relationship Id="rId240" Type="http://schemas.openxmlformats.org/officeDocument/2006/relationships/hyperlink" Target="mailto:rcn_06@hotmail.com" TargetMode="External"/><Relationship Id="rId14" Type="http://schemas.openxmlformats.org/officeDocument/2006/relationships/hyperlink" Target="mailto:foreverll8@yahoo.com.br" TargetMode="External"/><Relationship Id="rId35" Type="http://schemas.openxmlformats.org/officeDocument/2006/relationships/hyperlink" Target="mailto:rose.mercurio@hotmail.com" TargetMode="External"/><Relationship Id="rId56" Type="http://schemas.openxmlformats.org/officeDocument/2006/relationships/hyperlink" Target="mailto:camargojose02041974@gmail.com" TargetMode="External"/><Relationship Id="rId77" Type="http://schemas.openxmlformats.org/officeDocument/2006/relationships/hyperlink" Target="mailto:luciano@lacostacorretora.com.br" TargetMode="External"/><Relationship Id="rId100" Type="http://schemas.openxmlformats.org/officeDocument/2006/relationships/hyperlink" Target="mailto:sergioagf57@hotmail.com" TargetMode="External"/><Relationship Id="rId8" Type="http://schemas.openxmlformats.org/officeDocument/2006/relationships/hyperlink" Target="mailto:smdmotta@yahoo.com.br" TargetMode="External"/><Relationship Id="rId98" Type="http://schemas.openxmlformats.org/officeDocument/2006/relationships/hyperlink" Target="mailto:anaribeiro.nutricionista@gmail.com" TargetMode="External"/><Relationship Id="rId121" Type="http://schemas.openxmlformats.org/officeDocument/2006/relationships/hyperlink" Target="mailto:floriculturacitronela@gmail.com" TargetMode="External"/><Relationship Id="rId142" Type="http://schemas.openxmlformats.org/officeDocument/2006/relationships/hyperlink" Target="mailto:fe_0@hotmail.com" TargetMode="External"/><Relationship Id="rId163" Type="http://schemas.openxmlformats.org/officeDocument/2006/relationships/hyperlink" Target="mailto:audreypossebom@gmail.com" TargetMode="External"/><Relationship Id="rId184" Type="http://schemas.openxmlformats.org/officeDocument/2006/relationships/hyperlink" Target="mailto:leonardoavilademattos@gmail.com" TargetMode="External"/><Relationship Id="rId219" Type="http://schemas.openxmlformats.org/officeDocument/2006/relationships/hyperlink" Target="mailto:thiagonihei@hotmail.com" TargetMode="External"/><Relationship Id="rId230" Type="http://schemas.openxmlformats.org/officeDocument/2006/relationships/hyperlink" Target="mailto:tiaros2121@gmail.com" TargetMode="External"/><Relationship Id="rId25" Type="http://schemas.openxmlformats.org/officeDocument/2006/relationships/hyperlink" Target="mailto:solanogreco@hotmail.com" TargetMode="External"/><Relationship Id="rId46" Type="http://schemas.openxmlformats.org/officeDocument/2006/relationships/hyperlink" Target="mailto:renatoalves_19@yahoo.com.br" TargetMode="External"/><Relationship Id="rId67" Type="http://schemas.openxmlformats.org/officeDocument/2006/relationships/hyperlink" Target="mailto:fracis.lopes777@gmail.com" TargetMode="External"/><Relationship Id="rId88" Type="http://schemas.openxmlformats.org/officeDocument/2006/relationships/hyperlink" Target="mailto:rafaelsouza.advogado@gmail.com" TargetMode="External"/><Relationship Id="rId111" Type="http://schemas.openxmlformats.org/officeDocument/2006/relationships/hyperlink" Target="mailto:rochagill25@gmail.com" TargetMode="External"/><Relationship Id="rId132" Type="http://schemas.openxmlformats.org/officeDocument/2006/relationships/hyperlink" Target="mailto:mfrepr@gmail.com" TargetMode="External"/><Relationship Id="rId153" Type="http://schemas.openxmlformats.org/officeDocument/2006/relationships/hyperlink" Target="mailto:tania.c.oliveira@hotmail.com" TargetMode="External"/><Relationship Id="rId174" Type="http://schemas.openxmlformats.org/officeDocument/2006/relationships/hyperlink" Target="mailto:mrypchi@gmail.com" TargetMode="External"/><Relationship Id="rId195" Type="http://schemas.openxmlformats.org/officeDocument/2006/relationships/hyperlink" Target="mailto:meri@abscontabilidade.com.br" TargetMode="External"/><Relationship Id="rId209" Type="http://schemas.openxmlformats.org/officeDocument/2006/relationships/hyperlink" Target="mailto:Abilioarthur@hormail.com" TargetMode="External"/><Relationship Id="rId220" Type="http://schemas.openxmlformats.org/officeDocument/2006/relationships/hyperlink" Target="mailto:rogerio@knr.com.br" TargetMode="External"/><Relationship Id="rId241" Type="http://schemas.openxmlformats.org/officeDocument/2006/relationships/hyperlink" Target="mailto:tgl@toratigestaologistica.com.br" TargetMode="External"/><Relationship Id="rId15" Type="http://schemas.openxmlformats.org/officeDocument/2006/relationships/hyperlink" Target="mailto:dtssiqueira@gmail.com" TargetMode="External"/><Relationship Id="rId36" Type="http://schemas.openxmlformats.org/officeDocument/2006/relationships/hyperlink" Target="mailto:Paty.abd@gmail.com" TargetMode="External"/><Relationship Id="rId57" Type="http://schemas.openxmlformats.org/officeDocument/2006/relationships/hyperlink" Target="mailto:roseli.commim@hotmail.com" TargetMode="External"/><Relationship Id="rId10" Type="http://schemas.openxmlformats.org/officeDocument/2006/relationships/hyperlink" Target="mailto:soaresailton@yahoo.com.br" TargetMode="External"/><Relationship Id="rId31" Type="http://schemas.openxmlformats.org/officeDocument/2006/relationships/hyperlink" Target="mailto:denilemes82@gmail.com" TargetMode="External"/><Relationship Id="rId52" Type="http://schemas.openxmlformats.org/officeDocument/2006/relationships/hyperlink" Target="mailto:evaduarteg@hotmail.com" TargetMode="External"/><Relationship Id="rId73" Type="http://schemas.openxmlformats.org/officeDocument/2006/relationships/hyperlink" Target="mailto:elvio.bono@hotmail.com" TargetMode="External"/><Relationship Id="rId78" Type="http://schemas.openxmlformats.org/officeDocument/2006/relationships/hyperlink" Target="mailto:fersantospersonal@gmail.com" TargetMode="External"/><Relationship Id="rId94" Type="http://schemas.openxmlformats.org/officeDocument/2006/relationships/hyperlink" Target="mailto:marinicegomesesilva@gmail.com" TargetMode="External"/><Relationship Id="rId99" Type="http://schemas.openxmlformats.org/officeDocument/2006/relationships/hyperlink" Target="mailto:larriks@hotmail.com" TargetMode="External"/><Relationship Id="rId101" Type="http://schemas.openxmlformats.org/officeDocument/2006/relationships/hyperlink" Target="mailto:rodricaveira@hotmail.com" TargetMode="External"/><Relationship Id="rId122" Type="http://schemas.openxmlformats.org/officeDocument/2006/relationships/hyperlink" Target="mailto:criscaraiba@yahoo.com.br" TargetMode="External"/><Relationship Id="rId143" Type="http://schemas.openxmlformats.org/officeDocument/2006/relationships/hyperlink" Target="mailto:guilherme.martins.adv@hotmail.com" TargetMode="External"/><Relationship Id="rId148" Type="http://schemas.openxmlformats.org/officeDocument/2006/relationships/hyperlink" Target="mailto:eduardo_a_possebom@hotmail.com" TargetMode="External"/><Relationship Id="rId164" Type="http://schemas.openxmlformats.org/officeDocument/2006/relationships/hyperlink" Target="mailto:scguarapuava@gmail.com" TargetMode="External"/><Relationship Id="rId169" Type="http://schemas.openxmlformats.org/officeDocument/2006/relationships/hyperlink" Target="mailto:lemesadelar@gmail.com" TargetMode="External"/><Relationship Id="rId185" Type="http://schemas.openxmlformats.org/officeDocument/2006/relationships/hyperlink" Target="mailto:fe_0@hotmail.com" TargetMode="External"/><Relationship Id="rId4" Type="http://schemas.openxmlformats.org/officeDocument/2006/relationships/hyperlink" Target="mailto:helciohokama@gmail.com" TargetMode="External"/><Relationship Id="rId9" Type="http://schemas.openxmlformats.org/officeDocument/2006/relationships/hyperlink" Target="mailto:amauricabrini@hotmail.com" TargetMode="External"/><Relationship Id="rId180" Type="http://schemas.openxmlformats.org/officeDocument/2006/relationships/hyperlink" Target="mailto:rafaelsouza.advogado@gmail.com" TargetMode="External"/><Relationship Id="rId210" Type="http://schemas.openxmlformats.org/officeDocument/2006/relationships/hyperlink" Target="mailto:vergesmagno@gmail.com" TargetMode="External"/><Relationship Id="rId215" Type="http://schemas.openxmlformats.org/officeDocument/2006/relationships/hyperlink" Target="mailto:lemesadelar@gmail.com" TargetMode="External"/><Relationship Id="rId236" Type="http://schemas.openxmlformats.org/officeDocument/2006/relationships/hyperlink" Target="mailto:staell@gmail.com" TargetMode="External"/><Relationship Id="rId26" Type="http://schemas.openxmlformats.org/officeDocument/2006/relationships/hyperlink" Target="mailto:rlmarins@gmail.com" TargetMode="External"/><Relationship Id="rId231" Type="http://schemas.openxmlformats.org/officeDocument/2006/relationships/hyperlink" Target="mailto:eduardo_ono8@msn.com" TargetMode="External"/><Relationship Id="rId47" Type="http://schemas.openxmlformats.org/officeDocument/2006/relationships/hyperlink" Target="mailto:silvia@lacostacorretora.com.br" TargetMode="External"/><Relationship Id="rId68" Type="http://schemas.openxmlformats.org/officeDocument/2006/relationships/hyperlink" Target="mailto:monicacuca@hotmail.com" TargetMode="External"/><Relationship Id="rId89" Type="http://schemas.openxmlformats.org/officeDocument/2006/relationships/hyperlink" Target="mailto:mauricio.dfh.82@gmail.com" TargetMode="External"/><Relationship Id="rId112" Type="http://schemas.openxmlformats.org/officeDocument/2006/relationships/hyperlink" Target="mailto:dauanagomes84@gmail.com" TargetMode="External"/><Relationship Id="rId133" Type="http://schemas.openxmlformats.org/officeDocument/2006/relationships/hyperlink" Target="mailto:renatoalves_19@yahoo.com.br" TargetMode="External"/><Relationship Id="rId154" Type="http://schemas.openxmlformats.org/officeDocument/2006/relationships/hyperlink" Target="mailto:astroteksports@gmail.com" TargetMode="External"/><Relationship Id="rId175" Type="http://schemas.openxmlformats.org/officeDocument/2006/relationships/hyperlink" Target="mailto:elisangelachmoreira@hotmail.com" TargetMode="External"/><Relationship Id="rId196" Type="http://schemas.openxmlformats.org/officeDocument/2006/relationships/hyperlink" Target="mailto:natysdominguez@gmail.com" TargetMode="External"/><Relationship Id="rId200" Type="http://schemas.openxmlformats.org/officeDocument/2006/relationships/hyperlink" Target="mailto:renatoalves_19@yahoo.com.br" TargetMode="External"/><Relationship Id="rId16" Type="http://schemas.openxmlformats.org/officeDocument/2006/relationships/hyperlink" Target="mailto:lucamuri2001@yahoo.com.br" TargetMode="External"/><Relationship Id="rId221" Type="http://schemas.openxmlformats.org/officeDocument/2006/relationships/hyperlink" Target="mailto:clacirsalvadego82@gmail.com" TargetMode="External"/><Relationship Id="rId242" Type="http://schemas.openxmlformats.org/officeDocument/2006/relationships/hyperlink" Target="mailto:rcn_06@hotmail.com" TargetMode="External"/><Relationship Id="rId37" Type="http://schemas.openxmlformats.org/officeDocument/2006/relationships/hyperlink" Target="mailto:sinteseproteses@gmail.com" TargetMode="External"/><Relationship Id="rId58" Type="http://schemas.openxmlformats.org/officeDocument/2006/relationships/hyperlink" Target="mailto:sebafranca@yahoo.com.br" TargetMode="External"/><Relationship Id="rId79" Type="http://schemas.openxmlformats.org/officeDocument/2006/relationships/hyperlink" Target="mailto:cristianeoliveirarocha@gmail.com" TargetMode="External"/><Relationship Id="rId102" Type="http://schemas.openxmlformats.org/officeDocument/2006/relationships/hyperlink" Target="mailto:germanica@yahoo.com.br" TargetMode="External"/><Relationship Id="rId123" Type="http://schemas.openxmlformats.org/officeDocument/2006/relationships/hyperlink" Target="mailto:carlospfranca@hotmail.com" TargetMode="External"/><Relationship Id="rId144" Type="http://schemas.openxmlformats.org/officeDocument/2006/relationships/hyperlink" Target="mailto:criscaraiba@yahoo.com.br" TargetMode="External"/><Relationship Id="rId90" Type="http://schemas.openxmlformats.org/officeDocument/2006/relationships/hyperlink" Target="mailto:lorraini.alyl@hotmail.com" TargetMode="External"/><Relationship Id="rId165" Type="http://schemas.openxmlformats.org/officeDocument/2006/relationships/hyperlink" Target="mailto:rodrigo.rst@gmail.com" TargetMode="External"/><Relationship Id="rId186" Type="http://schemas.openxmlformats.org/officeDocument/2006/relationships/hyperlink" Target="mailto:paulo.cesar.andrade@gmail.com" TargetMode="External"/><Relationship Id="rId211" Type="http://schemas.openxmlformats.org/officeDocument/2006/relationships/hyperlink" Target="mailto:rodrigo.rst@gmail.com" TargetMode="External"/><Relationship Id="rId232" Type="http://schemas.openxmlformats.org/officeDocument/2006/relationships/hyperlink" Target="mailto:luiz.seguro@gmail.com" TargetMode="External"/><Relationship Id="rId27" Type="http://schemas.openxmlformats.org/officeDocument/2006/relationships/hyperlink" Target="mailto:nautacristina99@gmail.com" TargetMode="External"/><Relationship Id="rId48" Type="http://schemas.openxmlformats.org/officeDocument/2006/relationships/hyperlink" Target="mailto:victor.h.barbosa@hotmail.com" TargetMode="External"/><Relationship Id="rId69" Type="http://schemas.openxmlformats.org/officeDocument/2006/relationships/hyperlink" Target="mailto:arnaldokrelling@yahoo.com.br" TargetMode="External"/><Relationship Id="rId113" Type="http://schemas.openxmlformats.org/officeDocument/2006/relationships/hyperlink" Target="mailto:thiagothorresa@gmail.com" TargetMode="External"/><Relationship Id="rId134" Type="http://schemas.openxmlformats.org/officeDocument/2006/relationships/hyperlink" Target="mailto:paulo.cesar.andradee@gmail.com" TargetMode="External"/><Relationship Id="rId80" Type="http://schemas.openxmlformats.org/officeDocument/2006/relationships/hyperlink" Target="mailto:aldair988686454@gmail.com" TargetMode="External"/><Relationship Id="rId155" Type="http://schemas.openxmlformats.org/officeDocument/2006/relationships/hyperlink" Target="mailto:tss_administrador@hotmail.com" TargetMode="External"/><Relationship Id="rId176" Type="http://schemas.openxmlformats.org/officeDocument/2006/relationships/hyperlink" Target="mailto:daviddferreira93@gmail.com" TargetMode="External"/><Relationship Id="rId197" Type="http://schemas.openxmlformats.org/officeDocument/2006/relationships/hyperlink" Target="mailto:tania.c.oliveira@hotmail.com" TargetMode="External"/><Relationship Id="rId201" Type="http://schemas.openxmlformats.org/officeDocument/2006/relationships/hyperlink" Target="mailto:tss_administrador@hotmail.com" TargetMode="External"/><Relationship Id="rId222" Type="http://schemas.openxmlformats.org/officeDocument/2006/relationships/hyperlink" Target="mailto:mrypchi@gmail.com" TargetMode="External"/><Relationship Id="rId243" Type="http://schemas.openxmlformats.org/officeDocument/2006/relationships/hyperlink" Target="mailto:emililima81@gmail.com" TargetMode="External"/><Relationship Id="rId17" Type="http://schemas.openxmlformats.org/officeDocument/2006/relationships/hyperlink" Target="mailto:adm@woltengenharia.com.br" TargetMode="External"/><Relationship Id="rId38" Type="http://schemas.openxmlformats.org/officeDocument/2006/relationships/hyperlink" Target="mailto:le-agostinho@hotmail.com" TargetMode="External"/><Relationship Id="rId59" Type="http://schemas.openxmlformats.org/officeDocument/2006/relationships/hyperlink" Target="mailto:felps617@outlook.com.br" TargetMode="External"/><Relationship Id="rId103" Type="http://schemas.openxmlformats.org/officeDocument/2006/relationships/hyperlink" Target="mailto:acramrajab@gmail.com" TargetMode="External"/><Relationship Id="rId124" Type="http://schemas.openxmlformats.org/officeDocument/2006/relationships/hyperlink" Target="mailto:guilherme.martins.adv@hotmail.com" TargetMode="External"/><Relationship Id="rId70" Type="http://schemas.openxmlformats.org/officeDocument/2006/relationships/hyperlink" Target="mailto:roseli.commim@hotmail.com" TargetMode="External"/><Relationship Id="rId91" Type="http://schemas.openxmlformats.org/officeDocument/2006/relationships/hyperlink" Target="mailto:le-agostinho@hotmail.com" TargetMode="External"/><Relationship Id="rId145" Type="http://schemas.openxmlformats.org/officeDocument/2006/relationships/hyperlink" Target="mailto:junior@brasinvest.adm.br" TargetMode="External"/><Relationship Id="rId166" Type="http://schemas.openxmlformats.org/officeDocument/2006/relationships/hyperlink" Target="mailto:mfrepr@gmail.com" TargetMode="External"/><Relationship Id="rId187" Type="http://schemas.openxmlformats.org/officeDocument/2006/relationships/hyperlink" Target="mailto:dreamonii@remax.com.br" TargetMode="External"/><Relationship Id="rId1" Type="http://schemas.openxmlformats.org/officeDocument/2006/relationships/hyperlink" Target="mailto:sebastiaobatista@ig.com.br" TargetMode="External"/><Relationship Id="rId212" Type="http://schemas.openxmlformats.org/officeDocument/2006/relationships/hyperlink" Target="mailto:jossiotto@hotmail.com" TargetMode="External"/><Relationship Id="rId233" Type="http://schemas.openxmlformats.org/officeDocument/2006/relationships/hyperlink" Target="mailto:mfrepr@gmail.com" TargetMode="External"/><Relationship Id="rId28" Type="http://schemas.openxmlformats.org/officeDocument/2006/relationships/hyperlink" Target="mailto:silvia@lacostacorretora.com.br" TargetMode="External"/><Relationship Id="rId49" Type="http://schemas.openxmlformats.org/officeDocument/2006/relationships/hyperlink" Target="mailto:carlospfranca@hotmail.com" TargetMode="External"/><Relationship Id="rId114" Type="http://schemas.openxmlformats.org/officeDocument/2006/relationships/hyperlink" Target="mailto:sabatinialoir@gmail.com" TargetMode="External"/><Relationship Id="rId60" Type="http://schemas.openxmlformats.org/officeDocument/2006/relationships/hyperlink" Target="mailto:eduardo_a_possebom@hotmail.com" TargetMode="External"/><Relationship Id="rId81" Type="http://schemas.openxmlformats.org/officeDocument/2006/relationships/hyperlink" Target="mailto:cassascitronela@gmail.com" TargetMode="External"/><Relationship Id="rId135" Type="http://schemas.openxmlformats.org/officeDocument/2006/relationships/hyperlink" Target="mailto:rafaelsouza.advogado@gmail.com" TargetMode="External"/><Relationship Id="rId156" Type="http://schemas.openxmlformats.org/officeDocument/2006/relationships/hyperlink" Target="mailto:elisangelachmoreira@hotmail.com" TargetMode="External"/><Relationship Id="rId177" Type="http://schemas.openxmlformats.org/officeDocument/2006/relationships/hyperlink" Target="mailto:morojosegilberto@gmail.com" TargetMode="External"/><Relationship Id="rId198" Type="http://schemas.openxmlformats.org/officeDocument/2006/relationships/hyperlink" Target="mailto:gustavo.didrich@gmail.com" TargetMode="External"/><Relationship Id="rId202" Type="http://schemas.openxmlformats.org/officeDocument/2006/relationships/hyperlink" Target="mailto:mfrepr@gmail.com" TargetMode="External"/><Relationship Id="rId223" Type="http://schemas.openxmlformats.org/officeDocument/2006/relationships/hyperlink" Target="mailto:agronomo-ms@gmail.com" TargetMode="External"/><Relationship Id="rId244" Type="http://schemas.openxmlformats.org/officeDocument/2006/relationships/hyperlink" Target="mailto:flaviav_m@yahoo.com.br" TargetMode="External"/><Relationship Id="rId18" Type="http://schemas.openxmlformats.org/officeDocument/2006/relationships/hyperlink" Target="mailto:foreverll8@yahoo.com.br" TargetMode="External"/><Relationship Id="rId39" Type="http://schemas.openxmlformats.org/officeDocument/2006/relationships/hyperlink" Target="mailto:alicecruzc6@gmail.com" TargetMode="External"/><Relationship Id="rId50" Type="http://schemas.openxmlformats.org/officeDocument/2006/relationships/hyperlink" Target="mailto:fieldscorretora@gmail.com" TargetMode="External"/><Relationship Id="rId104" Type="http://schemas.openxmlformats.org/officeDocument/2006/relationships/hyperlink" Target="mailto:rafol_rodrigues@hotmail.com" TargetMode="External"/><Relationship Id="rId125" Type="http://schemas.openxmlformats.org/officeDocument/2006/relationships/hyperlink" Target="mailto:astroteksports@gmail.com" TargetMode="External"/><Relationship Id="rId146" Type="http://schemas.openxmlformats.org/officeDocument/2006/relationships/hyperlink" Target="mailto:alexmvieiraspfc@gmail.com" TargetMode="External"/><Relationship Id="rId167" Type="http://schemas.openxmlformats.org/officeDocument/2006/relationships/hyperlink" Target="mailto:mfrepr@gmail.com" TargetMode="External"/><Relationship Id="rId188" Type="http://schemas.openxmlformats.org/officeDocument/2006/relationships/hyperlink" Target="mailto:mluzia_rodrigues@hotmail.com" TargetMode="External"/><Relationship Id="rId71" Type="http://schemas.openxmlformats.org/officeDocument/2006/relationships/hyperlink" Target="mailto:silvia@lacostacorretora.com.br" TargetMode="External"/><Relationship Id="rId92" Type="http://schemas.openxmlformats.org/officeDocument/2006/relationships/hyperlink" Target="mailto:fe_0@hotmail.com" TargetMode="External"/><Relationship Id="rId213" Type="http://schemas.openxmlformats.org/officeDocument/2006/relationships/hyperlink" Target="mailto:jrnegrini@hotmail.com" TargetMode="External"/><Relationship Id="rId234" Type="http://schemas.openxmlformats.org/officeDocument/2006/relationships/hyperlink" Target="mailto:reginaglopes@gmail.com" TargetMode="External"/><Relationship Id="rId2" Type="http://schemas.openxmlformats.org/officeDocument/2006/relationships/hyperlink" Target="mailto:apsarda@hotmail.com" TargetMode="External"/><Relationship Id="rId29" Type="http://schemas.openxmlformats.org/officeDocument/2006/relationships/hyperlink" Target="mailto:margarete.planos@gmail.com" TargetMode="External"/><Relationship Id="rId40" Type="http://schemas.openxmlformats.org/officeDocument/2006/relationships/hyperlink" Target="mailto:claudimir.marins@gmail.com" TargetMode="External"/><Relationship Id="rId115" Type="http://schemas.openxmlformats.org/officeDocument/2006/relationships/hyperlink" Target="mailto:bilinski.marisa@gmail.com" TargetMode="External"/><Relationship Id="rId136" Type="http://schemas.openxmlformats.org/officeDocument/2006/relationships/hyperlink" Target="mailto:rogerio@knr.com.br" TargetMode="External"/><Relationship Id="rId157" Type="http://schemas.openxmlformats.org/officeDocument/2006/relationships/hyperlink" Target="mailto:pamelahlaurindo@gmail.com" TargetMode="External"/><Relationship Id="rId178" Type="http://schemas.openxmlformats.org/officeDocument/2006/relationships/hyperlink" Target="mailto:monicacuca@hotmail.com" TargetMode="External"/><Relationship Id="rId61" Type="http://schemas.openxmlformats.org/officeDocument/2006/relationships/hyperlink" Target="mailto:rafael_busatto@yahoo.com.br" TargetMode="External"/><Relationship Id="rId82" Type="http://schemas.openxmlformats.org/officeDocument/2006/relationships/hyperlink" Target="mailto:rodrigosoranco@hotmail.com" TargetMode="External"/><Relationship Id="rId199" Type="http://schemas.openxmlformats.org/officeDocument/2006/relationships/hyperlink" Target="mailto:clovis.jr.1997@gmail.com" TargetMode="External"/><Relationship Id="rId203" Type="http://schemas.openxmlformats.org/officeDocument/2006/relationships/hyperlink" Target="mailto:maripinho3@yahoo.com.br" TargetMode="External"/><Relationship Id="rId19" Type="http://schemas.openxmlformats.org/officeDocument/2006/relationships/hyperlink" Target="mailto:rw_lui@yahoo.com.br" TargetMode="External"/><Relationship Id="rId224" Type="http://schemas.openxmlformats.org/officeDocument/2006/relationships/hyperlink" Target="mailto:adelmoyunes@yahoo.com.br" TargetMode="External"/><Relationship Id="rId245" Type="http://schemas.openxmlformats.org/officeDocument/2006/relationships/hyperlink" Target="mailto:guilhermepasqual@hotmail.com" TargetMode="External"/><Relationship Id="rId30" Type="http://schemas.openxmlformats.org/officeDocument/2006/relationships/hyperlink" Target="mailto:sabatinicartuchos@gmail.com" TargetMode="External"/><Relationship Id="rId105" Type="http://schemas.openxmlformats.org/officeDocument/2006/relationships/hyperlink" Target="mailto:rw_lui@yahoo.com.br" TargetMode="External"/><Relationship Id="rId126" Type="http://schemas.openxmlformats.org/officeDocument/2006/relationships/hyperlink" Target="mailto:rafaelsouza.advogado@gmail.com" TargetMode="External"/><Relationship Id="rId147" Type="http://schemas.openxmlformats.org/officeDocument/2006/relationships/hyperlink" Target="mailto:renatoalves_19@yahoo.com.br" TargetMode="External"/><Relationship Id="rId168" Type="http://schemas.openxmlformats.org/officeDocument/2006/relationships/hyperlink" Target="mailto:cfccariotran@yahoo.com.br" TargetMode="External"/><Relationship Id="rId51" Type="http://schemas.openxmlformats.org/officeDocument/2006/relationships/hyperlink" Target="mailto:amaurinf@hotmail.com" TargetMode="External"/><Relationship Id="rId72" Type="http://schemas.openxmlformats.org/officeDocument/2006/relationships/hyperlink" Target="mailto:acramrajab@gmail.com" TargetMode="External"/><Relationship Id="rId93" Type="http://schemas.openxmlformats.org/officeDocument/2006/relationships/hyperlink" Target="mailto:lilianevazsilva@gmail.com" TargetMode="External"/><Relationship Id="rId189" Type="http://schemas.openxmlformats.org/officeDocument/2006/relationships/hyperlink" Target="mailto:jorge@betachem-china.com" TargetMode="External"/><Relationship Id="rId3" Type="http://schemas.openxmlformats.org/officeDocument/2006/relationships/hyperlink" Target="mailto:embutidosbraganholo@gmail.com" TargetMode="External"/><Relationship Id="rId214" Type="http://schemas.openxmlformats.org/officeDocument/2006/relationships/hyperlink" Target="mailto:eduardo_a_possebom@hotmail.com" TargetMode="External"/><Relationship Id="rId235" Type="http://schemas.openxmlformats.org/officeDocument/2006/relationships/hyperlink" Target="mailto:karinazip@gmail.com" TargetMode="External"/><Relationship Id="rId116" Type="http://schemas.openxmlformats.org/officeDocument/2006/relationships/hyperlink" Target="mailto:edenirpossebom@hotmail.com" TargetMode="External"/><Relationship Id="rId137" Type="http://schemas.openxmlformats.org/officeDocument/2006/relationships/hyperlink" Target="mailto:gabrielcercal009@gmail.com" TargetMode="External"/><Relationship Id="rId158" Type="http://schemas.openxmlformats.org/officeDocument/2006/relationships/hyperlink" Target="mailto:helenalatoh@gmail.com" TargetMode="External"/><Relationship Id="rId20" Type="http://schemas.openxmlformats.org/officeDocument/2006/relationships/hyperlink" Target="mailto:simone_pisante@hotmail.com" TargetMode="External"/><Relationship Id="rId41" Type="http://schemas.openxmlformats.org/officeDocument/2006/relationships/hyperlink" Target="mailto:rogerio2medeiros@gmail.com" TargetMode="External"/><Relationship Id="rId62" Type="http://schemas.openxmlformats.org/officeDocument/2006/relationships/hyperlink" Target="mailto:olegarioana04@gmail.com" TargetMode="External"/><Relationship Id="rId83" Type="http://schemas.openxmlformats.org/officeDocument/2006/relationships/hyperlink" Target="mailto:alicecruzc6@gmail.com" TargetMode="External"/><Relationship Id="rId179" Type="http://schemas.openxmlformats.org/officeDocument/2006/relationships/hyperlink" Target="mailto:kaizenmontagens@gmail.com" TargetMode="External"/><Relationship Id="rId190" Type="http://schemas.openxmlformats.org/officeDocument/2006/relationships/hyperlink" Target="mailto:mfrepr@gmail.com" TargetMode="External"/><Relationship Id="rId204" Type="http://schemas.openxmlformats.org/officeDocument/2006/relationships/hyperlink" Target="mailto:rafael_busatto@yahoo.com.br" TargetMode="External"/><Relationship Id="rId225" Type="http://schemas.openxmlformats.org/officeDocument/2006/relationships/hyperlink" Target="mailto:valdinei@perfectatelecom.com.br" TargetMode="External"/><Relationship Id="rId246" Type="http://schemas.openxmlformats.org/officeDocument/2006/relationships/hyperlink" Target="mailto:thiagothoresa@gmail.com" TargetMode="External"/><Relationship Id="rId106" Type="http://schemas.openxmlformats.org/officeDocument/2006/relationships/hyperlink" Target="mailto:baa.dias@hotmail.com" TargetMode="External"/><Relationship Id="rId127" Type="http://schemas.openxmlformats.org/officeDocument/2006/relationships/hyperlink" Target="mailto:rodrigo.r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37F3-2F7B-A34C-BC44-61BA7AB1E35D}">
  <dimension ref="A1:U474"/>
  <sheetViews>
    <sheetView tabSelected="1" workbookViewId="0">
      <selection activeCell="C1" sqref="C1"/>
    </sheetView>
  </sheetViews>
  <sheetFormatPr baseColWidth="10" defaultRowHeight="16" x14ac:dyDescent="0.2"/>
  <cols>
    <col min="1" max="1" width="4.1640625" bestFit="1" customWidth="1"/>
    <col min="2" max="2" width="77" bestFit="1" customWidth="1"/>
    <col min="3" max="3" width="13.1640625" bestFit="1" customWidth="1"/>
    <col min="4" max="5" width="14.1640625" bestFit="1" customWidth="1"/>
    <col min="6" max="6" width="10.1640625" bestFit="1" customWidth="1"/>
    <col min="7" max="7" width="33.5" bestFit="1" customWidth="1"/>
    <col min="8" max="8" width="15.5" bestFit="1" customWidth="1"/>
    <col min="9" max="9" width="9.5" bestFit="1" customWidth="1"/>
    <col min="10" max="10" width="10.1640625" bestFit="1" customWidth="1"/>
    <col min="11" max="11" width="17.33203125" bestFit="1" customWidth="1"/>
    <col min="12" max="12" width="28.5" bestFit="1" customWidth="1"/>
    <col min="13" max="13" width="12.83203125" bestFit="1" customWidth="1"/>
    <col min="14" max="14" width="11.83203125" bestFit="1" customWidth="1"/>
    <col min="15" max="16" width="12.83203125" bestFit="1" customWidth="1"/>
    <col min="19" max="19" width="12.83203125" bestFit="1" customWidth="1"/>
    <col min="21" max="21" width="11.83203125" bestFit="1" customWidth="1"/>
  </cols>
  <sheetData>
    <row r="1" spans="1:21" s="9" customFormat="1" ht="43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6">
        <v>7.3800000000000004E-2</v>
      </c>
      <c r="R1" s="6" t="s">
        <v>16</v>
      </c>
      <c r="S1" s="7">
        <f>P360</f>
        <v>160796.73896442546</v>
      </c>
      <c r="T1" s="6" t="s">
        <v>17</v>
      </c>
      <c r="U1" s="8">
        <f>S1/12</f>
        <v>13399.728247035455</v>
      </c>
    </row>
    <row r="2" spans="1:21" s="20" customFormat="1" x14ac:dyDescent="0.2">
      <c r="A2" s="10">
        <v>201</v>
      </c>
      <c r="B2" s="11" t="s">
        <v>18</v>
      </c>
      <c r="C2" s="12" t="s">
        <v>19</v>
      </c>
      <c r="D2" s="12"/>
      <c r="E2" s="12" t="s">
        <v>20</v>
      </c>
      <c r="F2" s="13">
        <v>23538</v>
      </c>
      <c r="G2" s="14" t="s">
        <v>21</v>
      </c>
      <c r="H2" s="11" t="s">
        <v>22</v>
      </c>
      <c r="I2" s="15">
        <v>0</v>
      </c>
      <c r="J2" s="13">
        <v>46463</v>
      </c>
      <c r="K2" s="16" t="s">
        <v>23</v>
      </c>
      <c r="L2" s="17" t="s">
        <v>24</v>
      </c>
      <c r="M2" s="18">
        <v>1828.55</v>
      </c>
      <c r="N2" s="19">
        <f t="shared" ref="N2:N65" si="0">O2*Q$1</f>
        <v>125.67236915626745</v>
      </c>
      <c r="O2" s="19">
        <f t="shared" ref="O2:O65" si="1">M2/(1+$Q$1)</f>
        <v>1702.8776308437323</v>
      </c>
      <c r="P2" s="19">
        <f>O2*22%</f>
        <v>374.63307878562108</v>
      </c>
      <c r="S2" s="19"/>
      <c r="U2" s="19"/>
    </row>
    <row r="3" spans="1:21" s="20" customFormat="1" x14ac:dyDescent="0.2">
      <c r="A3" s="10">
        <v>202</v>
      </c>
      <c r="B3" s="11" t="s">
        <v>25</v>
      </c>
      <c r="C3" s="12"/>
      <c r="D3" s="12"/>
      <c r="E3" s="12" t="s">
        <v>26</v>
      </c>
      <c r="F3" s="13">
        <v>31581</v>
      </c>
      <c r="G3" s="14" t="s">
        <v>27</v>
      </c>
      <c r="H3" s="11" t="s">
        <v>28</v>
      </c>
      <c r="I3" s="15">
        <v>0</v>
      </c>
      <c r="J3" s="13">
        <v>46099</v>
      </c>
      <c r="K3" s="16" t="s">
        <v>29</v>
      </c>
      <c r="L3" s="17" t="s">
        <v>30</v>
      </c>
      <c r="M3" s="18">
        <v>5630.8</v>
      </c>
      <c r="N3" s="19">
        <f t="shared" si="0"/>
        <v>386.99295958279009</v>
      </c>
      <c r="O3" s="19">
        <f t="shared" si="1"/>
        <v>5243.8070404172095</v>
      </c>
      <c r="P3" s="19">
        <f>O3*15%</f>
        <v>786.57105606258142</v>
      </c>
      <c r="S3" s="19"/>
      <c r="U3" s="19"/>
    </row>
    <row r="4" spans="1:21" s="20" customFormat="1" x14ac:dyDescent="0.2">
      <c r="A4" s="10">
        <v>203</v>
      </c>
      <c r="B4" s="11" t="s">
        <v>31</v>
      </c>
      <c r="C4" s="12"/>
      <c r="D4" s="12"/>
      <c r="E4" s="12" t="s">
        <v>32</v>
      </c>
      <c r="F4" s="13">
        <v>25119</v>
      </c>
      <c r="G4" s="14" t="s">
        <v>33</v>
      </c>
      <c r="H4" s="11" t="s">
        <v>34</v>
      </c>
      <c r="I4" s="15">
        <v>4</v>
      </c>
      <c r="J4" s="13">
        <v>46100</v>
      </c>
      <c r="K4" s="16" t="s">
        <v>35</v>
      </c>
      <c r="L4" s="17" t="s">
        <v>36</v>
      </c>
      <c r="M4" s="18">
        <v>1707.79</v>
      </c>
      <c r="N4" s="19">
        <f t="shared" si="0"/>
        <v>117.37279009126466</v>
      </c>
      <c r="O4" s="19">
        <f t="shared" si="1"/>
        <v>1590.4172099087352</v>
      </c>
      <c r="P4" s="19">
        <f>O4*15%</f>
        <v>238.56258148631028</v>
      </c>
      <c r="S4" s="19"/>
      <c r="U4" s="19"/>
    </row>
    <row r="5" spans="1:21" s="20" customFormat="1" x14ac:dyDescent="0.2">
      <c r="A5" s="10">
        <v>204</v>
      </c>
      <c r="B5" s="11" t="s">
        <v>37</v>
      </c>
      <c r="C5" s="12"/>
      <c r="D5" s="12"/>
      <c r="E5" s="12" t="s">
        <v>38</v>
      </c>
      <c r="F5" s="13">
        <v>21164</v>
      </c>
      <c r="G5" s="14" t="s">
        <v>39</v>
      </c>
      <c r="H5" s="11" t="s">
        <v>40</v>
      </c>
      <c r="I5" s="15">
        <v>0</v>
      </c>
      <c r="J5" s="13">
        <v>46103</v>
      </c>
      <c r="K5" s="16" t="s">
        <v>41</v>
      </c>
      <c r="L5" s="17" t="s">
        <v>42</v>
      </c>
      <c r="M5" s="18">
        <v>2253.61</v>
      </c>
      <c r="N5" s="19">
        <f t="shared" si="0"/>
        <v>154.88584280126653</v>
      </c>
      <c r="O5" s="19">
        <f t="shared" si="1"/>
        <v>2098.7241571987333</v>
      </c>
      <c r="P5" s="19">
        <f>O5*10%</f>
        <v>209.87241571987335</v>
      </c>
      <c r="S5" s="19"/>
      <c r="U5" s="19"/>
    </row>
    <row r="6" spans="1:21" s="20" customFormat="1" x14ac:dyDescent="0.2">
      <c r="A6" s="10">
        <v>205</v>
      </c>
      <c r="B6" s="21" t="s">
        <v>43</v>
      </c>
      <c r="C6" s="12"/>
      <c r="D6" s="12"/>
      <c r="E6" s="12" t="s">
        <v>44</v>
      </c>
      <c r="F6" s="13">
        <v>31388</v>
      </c>
      <c r="G6" s="14" t="s">
        <v>45</v>
      </c>
      <c r="H6" s="11" t="s">
        <v>46</v>
      </c>
      <c r="I6" s="15">
        <v>0</v>
      </c>
      <c r="J6" s="13">
        <v>46103</v>
      </c>
      <c r="K6" s="16" t="s">
        <v>47</v>
      </c>
      <c r="L6" s="17" t="s">
        <v>48</v>
      </c>
      <c r="M6" s="18">
        <v>2055.9299999999998</v>
      </c>
      <c r="N6" s="19">
        <f t="shared" si="0"/>
        <v>141.29971503073196</v>
      </c>
      <c r="O6" s="19">
        <f t="shared" si="1"/>
        <v>1914.6302849692677</v>
      </c>
      <c r="P6" s="19">
        <f>O6*15%</f>
        <v>287.19454274539015</v>
      </c>
      <c r="S6" s="19"/>
      <c r="U6" s="19"/>
    </row>
    <row r="7" spans="1:21" s="20" customFormat="1" x14ac:dyDescent="0.2">
      <c r="A7" s="10">
        <v>206</v>
      </c>
      <c r="B7" s="11" t="s">
        <v>49</v>
      </c>
      <c r="C7" s="12"/>
      <c r="D7" s="12"/>
      <c r="E7" s="12" t="s">
        <v>50</v>
      </c>
      <c r="F7" s="13"/>
      <c r="G7" s="14" t="s">
        <v>51</v>
      </c>
      <c r="H7" s="11" t="s">
        <v>40</v>
      </c>
      <c r="I7" s="15">
        <v>3</v>
      </c>
      <c r="J7" s="13">
        <v>46105</v>
      </c>
      <c r="K7" s="16" t="s">
        <v>52</v>
      </c>
      <c r="L7" s="17" t="s">
        <v>53</v>
      </c>
      <c r="M7" s="18">
        <v>1248.1300000000001</v>
      </c>
      <c r="N7" s="19">
        <f t="shared" si="0"/>
        <v>85.781331719128332</v>
      </c>
      <c r="O7" s="19">
        <f t="shared" si="1"/>
        <v>1162.3486682808716</v>
      </c>
      <c r="P7" s="19">
        <f>O7*15%</f>
        <v>174.35230024213072</v>
      </c>
      <c r="S7" s="19"/>
      <c r="U7" s="19"/>
    </row>
    <row r="8" spans="1:21" s="20" customFormat="1" x14ac:dyDescent="0.2">
      <c r="A8" s="10">
        <v>207</v>
      </c>
      <c r="B8" s="11" t="s">
        <v>54</v>
      </c>
      <c r="C8" s="12"/>
      <c r="D8" s="12"/>
      <c r="E8" s="12" t="s">
        <v>55</v>
      </c>
      <c r="F8" s="13"/>
      <c r="G8" s="14" t="s">
        <v>56</v>
      </c>
      <c r="H8" s="11" t="s">
        <v>57</v>
      </c>
      <c r="I8" s="15">
        <v>0</v>
      </c>
      <c r="J8" s="13">
        <v>46106</v>
      </c>
      <c r="K8" s="16" t="s">
        <v>58</v>
      </c>
      <c r="L8" s="17" t="s">
        <v>59</v>
      </c>
      <c r="M8" s="18">
        <v>3883.02</v>
      </c>
      <c r="N8" s="19">
        <f t="shared" si="0"/>
        <v>266.87174147886014</v>
      </c>
      <c r="O8" s="19">
        <f t="shared" si="1"/>
        <v>3616.1482585211397</v>
      </c>
      <c r="P8" s="19">
        <f>O8*10%</f>
        <v>361.614825852114</v>
      </c>
      <c r="S8" s="19"/>
      <c r="U8" s="19"/>
    </row>
    <row r="9" spans="1:21" s="20" customFormat="1" x14ac:dyDescent="0.2">
      <c r="A9" s="10">
        <v>208</v>
      </c>
      <c r="B9" s="11" t="s">
        <v>60</v>
      </c>
      <c r="C9" s="12"/>
      <c r="D9" s="12"/>
      <c r="E9" s="12" t="s">
        <v>61</v>
      </c>
      <c r="F9" s="13">
        <v>30629</v>
      </c>
      <c r="G9" s="14" t="s">
        <v>62</v>
      </c>
      <c r="H9" s="11" t="s">
        <v>40</v>
      </c>
      <c r="I9" s="15">
        <v>0</v>
      </c>
      <c r="J9" s="13">
        <v>46106</v>
      </c>
      <c r="K9" s="16" t="s">
        <v>63</v>
      </c>
      <c r="L9" s="17" t="s">
        <v>64</v>
      </c>
      <c r="M9" s="18">
        <v>1662.32</v>
      </c>
      <c r="N9" s="19">
        <f t="shared" si="0"/>
        <v>114.24773328366548</v>
      </c>
      <c r="O9" s="19">
        <f t="shared" si="1"/>
        <v>1548.0722667163343</v>
      </c>
      <c r="P9" s="19">
        <f>O9*15%</f>
        <v>232.21084000745014</v>
      </c>
      <c r="S9" s="19"/>
      <c r="U9" s="19"/>
    </row>
    <row r="10" spans="1:21" s="20" customFormat="1" x14ac:dyDescent="0.2">
      <c r="A10" s="10">
        <v>209</v>
      </c>
      <c r="B10" s="11" t="s">
        <v>65</v>
      </c>
      <c r="C10" s="12"/>
      <c r="D10" s="12"/>
      <c r="E10" s="12" t="s">
        <v>66</v>
      </c>
      <c r="F10" s="13"/>
      <c r="G10" s="14" t="s">
        <v>67</v>
      </c>
      <c r="H10" s="11" t="s">
        <v>40</v>
      </c>
      <c r="I10" s="15">
        <v>2</v>
      </c>
      <c r="J10" s="13">
        <v>46108</v>
      </c>
      <c r="K10" s="16" t="s">
        <v>68</v>
      </c>
      <c r="L10" s="17" t="s">
        <v>69</v>
      </c>
      <c r="M10" s="18">
        <v>1751.34</v>
      </c>
      <c r="N10" s="19">
        <f t="shared" si="0"/>
        <v>120.3658893648724</v>
      </c>
      <c r="O10" s="19">
        <f t="shared" si="1"/>
        <v>1630.9741106351273</v>
      </c>
      <c r="P10" s="19">
        <f>O10*10%</f>
        <v>163.09741106351274</v>
      </c>
      <c r="S10" s="19"/>
      <c r="U10" s="19"/>
    </row>
    <row r="11" spans="1:21" s="20" customFormat="1" x14ac:dyDescent="0.2">
      <c r="A11" s="10">
        <v>210</v>
      </c>
      <c r="B11" s="11" t="s">
        <v>70</v>
      </c>
      <c r="C11" s="12"/>
      <c r="D11" s="12"/>
      <c r="E11" s="12" t="s">
        <v>71</v>
      </c>
      <c r="F11" s="13">
        <v>19706</v>
      </c>
      <c r="G11" s="14" t="s">
        <v>72</v>
      </c>
      <c r="H11" s="11" t="s">
        <v>40</v>
      </c>
      <c r="I11" s="15">
        <v>1</v>
      </c>
      <c r="J11" s="13">
        <v>46108</v>
      </c>
      <c r="K11" s="16" t="s">
        <v>73</v>
      </c>
      <c r="L11" s="17" t="s">
        <v>74</v>
      </c>
      <c r="M11" s="18">
        <v>1026.3800000000001</v>
      </c>
      <c r="N11" s="19">
        <f t="shared" si="0"/>
        <v>70.54092382194078</v>
      </c>
      <c r="O11" s="19">
        <f t="shared" si="1"/>
        <v>955.83907617805926</v>
      </c>
      <c r="P11" s="19">
        <f>O11*25%</f>
        <v>238.95976904451481</v>
      </c>
      <c r="S11" s="19"/>
      <c r="U11" s="19"/>
    </row>
    <row r="12" spans="1:21" s="20" customFormat="1" x14ac:dyDescent="0.2">
      <c r="A12" s="10">
        <v>211</v>
      </c>
      <c r="B12" s="11" t="s">
        <v>75</v>
      </c>
      <c r="C12" s="12"/>
      <c r="D12" s="12"/>
      <c r="E12" s="12" t="s">
        <v>76</v>
      </c>
      <c r="F12" s="13">
        <v>31982</v>
      </c>
      <c r="G12" s="14" t="s">
        <v>77</v>
      </c>
      <c r="H12" s="11" t="s">
        <v>40</v>
      </c>
      <c r="I12" s="15">
        <v>0</v>
      </c>
      <c r="J12" s="13">
        <v>46109</v>
      </c>
      <c r="K12" s="16" t="s">
        <v>73</v>
      </c>
      <c r="L12" s="17" t="s">
        <v>78</v>
      </c>
      <c r="M12" s="18">
        <v>2556.4899999999998</v>
      </c>
      <c r="N12" s="19">
        <f t="shared" si="0"/>
        <v>175.70214378841496</v>
      </c>
      <c r="O12" s="19">
        <f t="shared" si="1"/>
        <v>2380.7878562115848</v>
      </c>
      <c r="P12" s="19">
        <f>O12*15%</f>
        <v>357.1181784317377</v>
      </c>
      <c r="S12" s="19"/>
      <c r="U12" s="19"/>
    </row>
    <row r="13" spans="1:21" s="20" customFormat="1" x14ac:dyDescent="0.2">
      <c r="A13" s="10">
        <v>212</v>
      </c>
      <c r="B13" s="11" t="s">
        <v>79</v>
      </c>
      <c r="C13" s="12"/>
      <c r="D13" s="12"/>
      <c r="E13" s="12" t="s">
        <v>80</v>
      </c>
      <c r="F13" s="13"/>
      <c r="G13" s="14" t="s">
        <v>81</v>
      </c>
      <c r="H13" s="11" t="s">
        <v>22</v>
      </c>
      <c r="I13" s="15">
        <v>3</v>
      </c>
      <c r="J13" s="13">
        <v>46109</v>
      </c>
      <c r="K13" s="16" t="s">
        <v>82</v>
      </c>
      <c r="L13" s="17" t="s">
        <v>53</v>
      </c>
      <c r="M13" s="18">
        <v>2959.9</v>
      </c>
      <c r="N13" s="19">
        <f t="shared" si="0"/>
        <v>203.42765878189607</v>
      </c>
      <c r="O13" s="19">
        <f t="shared" si="1"/>
        <v>2756.4723412181038</v>
      </c>
      <c r="P13" s="19">
        <f>O13*15%</f>
        <v>413.47085118271553</v>
      </c>
      <c r="S13" s="19"/>
      <c r="U13" s="19"/>
    </row>
    <row r="14" spans="1:21" s="20" customFormat="1" x14ac:dyDescent="0.2">
      <c r="A14" s="10">
        <v>213</v>
      </c>
      <c r="B14" s="11" t="s">
        <v>83</v>
      </c>
      <c r="C14" s="12"/>
      <c r="D14" s="12"/>
      <c r="E14" s="12" t="s">
        <v>84</v>
      </c>
      <c r="F14" s="22">
        <v>25111</v>
      </c>
      <c r="G14" s="14" t="s">
        <v>85</v>
      </c>
      <c r="H14" s="11" t="s">
        <v>40</v>
      </c>
      <c r="I14" s="15">
        <v>1</v>
      </c>
      <c r="J14" s="13">
        <v>46114</v>
      </c>
      <c r="K14" s="16" t="s">
        <v>86</v>
      </c>
      <c r="L14" s="17" t="s">
        <v>74</v>
      </c>
      <c r="M14" s="18">
        <v>1639.37</v>
      </c>
      <c r="N14" s="19">
        <f t="shared" si="0"/>
        <v>112.67042838517413</v>
      </c>
      <c r="O14" s="19">
        <f t="shared" si="1"/>
        <v>1526.6995716148256</v>
      </c>
      <c r="P14" s="19">
        <f>O14*20%</f>
        <v>305.33991432296511</v>
      </c>
      <c r="S14" s="19"/>
      <c r="U14" s="19"/>
    </row>
    <row r="15" spans="1:21" s="20" customFormat="1" x14ac:dyDescent="0.2">
      <c r="A15" s="10">
        <v>214</v>
      </c>
      <c r="B15" s="11" t="s">
        <v>87</v>
      </c>
      <c r="C15" s="12"/>
      <c r="D15" s="12" t="s">
        <v>88</v>
      </c>
      <c r="E15" s="12" t="s">
        <v>89</v>
      </c>
      <c r="F15" s="13"/>
      <c r="G15" s="14" t="s">
        <v>90</v>
      </c>
      <c r="H15" s="11" t="s">
        <v>22</v>
      </c>
      <c r="I15" s="15">
        <v>2</v>
      </c>
      <c r="J15" s="13">
        <v>46114</v>
      </c>
      <c r="K15" s="16" t="s">
        <v>91</v>
      </c>
      <c r="L15" s="17" t="s">
        <v>69</v>
      </c>
      <c r="M15" s="18">
        <v>6947.59</v>
      </c>
      <c r="N15" s="19">
        <f t="shared" si="0"/>
        <v>477.49314769975791</v>
      </c>
      <c r="O15" s="19">
        <f t="shared" si="1"/>
        <v>6470.0968523002421</v>
      </c>
      <c r="P15" s="19">
        <f>O15*15%</f>
        <v>970.51452784503624</v>
      </c>
      <c r="S15" s="19"/>
      <c r="U15" s="19"/>
    </row>
    <row r="16" spans="1:21" s="20" customFormat="1" x14ac:dyDescent="0.2">
      <c r="A16" s="10">
        <v>215</v>
      </c>
      <c r="B16" s="11" t="s">
        <v>92</v>
      </c>
      <c r="C16" s="12" t="s">
        <v>93</v>
      </c>
      <c r="D16" s="12"/>
      <c r="E16" s="12" t="s">
        <v>94</v>
      </c>
      <c r="F16" s="13">
        <v>29218</v>
      </c>
      <c r="G16" s="14" t="s">
        <v>95</v>
      </c>
      <c r="H16" s="11" t="s">
        <v>22</v>
      </c>
      <c r="I16" s="15">
        <v>0</v>
      </c>
      <c r="J16" s="13">
        <v>46114</v>
      </c>
      <c r="K16" s="16" t="s">
        <v>96</v>
      </c>
      <c r="L16" s="17" t="s">
        <v>97</v>
      </c>
      <c r="M16" s="18">
        <v>2043.08</v>
      </c>
      <c r="N16" s="19">
        <f t="shared" si="0"/>
        <v>140.41656174334139</v>
      </c>
      <c r="O16" s="19">
        <f t="shared" si="1"/>
        <v>1902.6634382566583</v>
      </c>
      <c r="P16" s="19">
        <f>O16*15%</f>
        <v>285.39951573849874</v>
      </c>
      <c r="S16" s="19"/>
      <c r="U16" s="19"/>
    </row>
    <row r="17" spans="1:21" s="20" customFormat="1" x14ac:dyDescent="0.2">
      <c r="A17" s="10">
        <v>216</v>
      </c>
      <c r="B17" s="11" t="s">
        <v>98</v>
      </c>
      <c r="C17" s="12"/>
      <c r="D17" s="12"/>
      <c r="E17" s="12" t="s">
        <v>99</v>
      </c>
      <c r="F17" s="13">
        <v>25336</v>
      </c>
      <c r="G17" s="14" t="s">
        <v>100</v>
      </c>
      <c r="H17" s="11" t="s">
        <v>101</v>
      </c>
      <c r="I17" s="15">
        <v>0</v>
      </c>
      <c r="J17" s="13">
        <v>46116</v>
      </c>
      <c r="K17" s="16" t="s">
        <v>102</v>
      </c>
      <c r="L17" s="17" t="s">
        <v>103</v>
      </c>
      <c r="M17" s="18">
        <v>6291.07</v>
      </c>
      <c r="N17" s="19">
        <f t="shared" si="0"/>
        <v>432.37191842056245</v>
      </c>
      <c r="O17" s="19">
        <f t="shared" si="1"/>
        <v>5858.6980815794368</v>
      </c>
      <c r="P17" s="19">
        <f>O17*10%</f>
        <v>585.86980815794368</v>
      </c>
      <c r="S17" s="19"/>
      <c r="U17" s="19"/>
    </row>
    <row r="18" spans="1:21" s="20" customFormat="1" x14ac:dyDescent="0.2">
      <c r="A18" s="10">
        <v>217</v>
      </c>
      <c r="B18" s="11" t="s">
        <v>104</v>
      </c>
      <c r="C18" s="12"/>
      <c r="D18" s="12"/>
      <c r="E18" s="12" t="s">
        <v>105</v>
      </c>
      <c r="F18" s="13">
        <v>27055</v>
      </c>
      <c r="G18" s="14" t="s">
        <v>106</v>
      </c>
      <c r="H18" s="11" t="s">
        <v>28</v>
      </c>
      <c r="I18" s="15">
        <v>0</v>
      </c>
      <c r="J18" s="13">
        <v>46117</v>
      </c>
      <c r="K18" s="16" t="s">
        <v>107</v>
      </c>
      <c r="L18" s="17" t="s">
        <v>108</v>
      </c>
      <c r="M18" s="18">
        <v>1284.04</v>
      </c>
      <c r="N18" s="19">
        <f t="shared" si="0"/>
        <v>88.249349972061836</v>
      </c>
      <c r="O18" s="19">
        <f t="shared" si="1"/>
        <v>1195.790650027938</v>
      </c>
      <c r="P18" s="19">
        <f>O18*10%</f>
        <v>119.57906500279381</v>
      </c>
      <c r="S18" s="19"/>
      <c r="U18" s="19"/>
    </row>
    <row r="19" spans="1:21" s="20" customFormat="1" x14ac:dyDescent="0.2">
      <c r="A19" s="10">
        <v>218</v>
      </c>
      <c r="B19" s="11" t="s">
        <v>109</v>
      </c>
      <c r="C19" s="12"/>
      <c r="D19" s="12"/>
      <c r="E19" s="12" t="s">
        <v>110</v>
      </c>
      <c r="F19" s="13">
        <v>28456</v>
      </c>
      <c r="G19" s="14" t="s">
        <v>111</v>
      </c>
      <c r="H19" s="11" t="s">
        <v>40</v>
      </c>
      <c r="I19" s="15">
        <v>4</v>
      </c>
      <c r="J19" s="13">
        <v>46118</v>
      </c>
      <c r="K19" s="16" t="s">
        <v>112</v>
      </c>
      <c r="L19" s="17" t="s">
        <v>113</v>
      </c>
      <c r="M19" s="18">
        <v>4438.26</v>
      </c>
      <c r="N19" s="19">
        <f t="shared" si="0"/>
        <v>305.03221084000745</v>
      </c>
      <c r="O19" s="19">
        <f t="shared" si="1"/>
        <v>4133.2277891599924</v>
      </c>
      <c r="P19" s="19">
        <f>O19*20%</f>
        <v>826.64555783199853</v>
      </c>
      <c r="S19" s="19"/>
      <c r="U19" s="19"/>
    </row>
    <row r="20" spans="1:21" s="20" customFormat="1" x14ac:dyDescent="0.2">
      <c r="A20" s="10">
        <v>219</v>
      </c>
      <c r="B20" s="11" t="s">
        <v>114</v>
      </c>
      <c r="C20" s="12"/>
      <c r="D20" s="12"/>
      <c r="E20" s="12" t="s">
        <v>115</v>
      </c>
      <c r="F20" s="13">
        <v>22954</v>
      </c>
      <c r="G20" s="14" t="s">
        <v>116</v>
      </c>
      <c r="H20" s="11" t="s">
        <v>46</v>
      </c>
      <c r="I20" s="15">
        <v>0</v>
      </c>
      <c r="J20" s="13">
        <v>46118</v>
      </c>
      <c r="K20" s="16" t="s">
        <v>117</v>
      </c>
      <c r="L20" s="17" t="s">
        <v>118</v>
      </c>
      <c r="M20" s="18">
        <v>1233.01</v>
      </c>
      <c r="N20" s="19">
        <f t="shared" si="0"/>
        <v>84.742166138945791</v>
      </c>
      <c r="O20" s="19">
        <f t="shared" si="1"/>
        <v>1148.267833861054</v>
      </c>
      <c r="P20" s="19">
        <f>O20*20%</f>
        <v>229.65356677221081</v>
      </c>
      <c r="S20" s="19"/>
      <c r="U20" s="19"/>
    </row>
    <row r="21" spans="1:21" s="20" customFormat="1" x14ac:dyDescent="0.2">
      <c r="A21" s="10">
        <v>220</v>
      </c>
      <c r="B21" s="11" t="s">
        <v>119</v>
      </c>
      <c r="C21" s="12"/>
      <c r="D21" s="12"/>
      <c r="E21" s="12" t="s">
        <v>120</v>
      </c>
      <c r="F21" s="13">
        <v>26611</v>
      </c>
      <c r="G21" s="14" t="s">
        <v>121</v>
      </c>
      <c r="H21" s="11" t="s">
        <v>22</v>
      </c>
      <c r="I21" s="15">
        <v>0</v>
      </c>
      <c r="J21" s="13">
        <v>46119</v>
      </c>
      <c r="K21" s="16" t="s">
        <v>122</v>
      </c>
      <c r="L21" s="17" t="s">
        <v>123</v>
      </c>
      <c r="M21" s="18">
        <v>2056.4699999999998</v>
      </c>
      <c r="N21" s="19">
        <f t="shared" si="0"/>
        <v>141.33682808716705</v>
      </c>
      <c r="O21" s="19">
        <f t="shared" si="1"/>
        <v>1915.1331719128325</v>
      </c>
      <c r="P21" s="19">
        <f>O21*10%</f>
        <v>191.51331719128325</v>
      </c>
      <c r="S21" s="19"/>
      <c r="U21" s="19"/>
    </row>
    <row r="22" spans="1:21" s="20" customFormat="1" x14ac:dyDescent="0.2">
      <c r="A22" s="10">
        <v>221</v>
      </c>
      <c r="B22" s="11" t="s">
        <v>124</v>
      </c>
      <c r="C22" s="12"/>
      <c r="D22" s="12"/>
      <c r="E22" s="12" t="s">
        <v>125</v>
      </c>
      <c r="F22" s="13">
        <v>29272</v>
      </c>
      <c r="G22" s="14" t="s">
        <v>126</v>
      </c>
      <c r="H22" s="11" t="s">
        <v>28</v>
      </c>
      <c r="I22" s="15">
        <v>0</v>
      </c>
      <c r="J22" s="13">
        <v>46122</v>
      </c>
      <c r="K22" s="16" t="s">
        <v>127</v>
      </c>
      <c r="L22" s="17" t="s">
        <v>128</v>
      </c>
      <c r="M22" s="18">
        <v>2502.69</v>
      </c>
      <c r="N22" s="19">
        <f t="shared" si="0"/>
        <v>172.00458372136339</v>
      </c>
      <c r="O22" s="19">
        <f t="shared" si="1"/>
        <v>2330.6854162786367</v>
      </c>
      <c r="P22" s="19">
        <f>O22*25%</f>
        <v>582.67135406965917</v>
      </c>
      <c r="S22" s="19"/>
      <c r="U22" s="19"/>
    </row>
    <row r="23" spans="1:21" s="20" customFormat="1" x14ac:dyDescent="0.2">
      <c r="A23" s="10">
        <v>222</v>
      </c>
      <c r="B23" s="11" t="s">
        <v>129</v>
      </c>
      <c r="C23" s="12" t="s">
        <v>130</v>
      </c>
      <c r="D23" s="12"/>
      <c r="E23" s="12" t="s">
        <v>131</v>
      </c>
      <c r="F23" s="13">
        <v>31463</v>
      </c>
      <c r="G23" s="14" t="s">
        <v>132</v>
      </c>
      <c r="H23" s="11" t="s">
        <v>133</v>
      </c>
      <c r="I23" s="15">
        <v>0</v>
      </c>
      <c r="J23" s="13">
        <v>46122</v>
      </c>
      <c r="K23" s="16" t="s">
        <v>134</v>
      </c>
      <c r="L23" s="17" t="s">
        <v>135</v>
      </c>
      <c r="M23" s="18">
        <v>2326.3200000000002</v>
      </c>
      <c r="N23" s="19">
        <f t="shared" si="0"/>
        <v>159.88304712236919</v>
      </c>
      <c r="O23" s="19">
        <f t="shared" si="1"/>
        <v>2166.436952877631</v>
      </c>
      <c r="P23" s="19">
        <f>O23*20%</f>
        <v>433.28739057552622</v>
      </c>
      <c r="S23" s="19"/>
      <c r="U23" s="19"/>
    </row>
    <row r="24" spans="1:21" s="20" customFormat="1" x14ac:dyDescent="0.2">
      <c r="A24" s="10">
        <v>223</v>
      </c>
      <c r="B24" s="11" t="s">
        <v>136</v>
      </c>
      <c r="C24" s="12"/>
      <c r="D24" s="12"/>
      <c r="E24" s="12" t="s">
        <v>137</v>
      </c>
      <c r="F24" s="13"/>
      <c r="G24" s="14" t="s">
        <v>138</v>
      </c>
      <c r="H24" s="11" t="s">
        <v>133</v>
      </c>
      <c r="I24" s="15">
        <v>3</v>
      </c>
      <c r="J24" s="13">
        <v>46124</v>
      </c>
      <c r="K24" s="16" t="s">
        <v>139</v>
      </c>
      <c r="L24" s="17" t="s">
        <v>53</v>
      </c>
      <c r="M24" s="18">
        <v>2272.21</v>
      </c>
      <c r="N24" s="19">
        <f t="shared" si="0"/>
        <v>156.16418141180853</v>
      </c>
      <c r="O24" s="19">
        <f t="shared" si="1"/>
        <v>2116.0458185881912</v>
      </c>
      <c r="P24" s="19">
        <f>O24*30%</f>
        <v>634.81374557645734</v>
      </c>
      <c r="S24" s="19"/>
      <c r="U24" s="19"/>
    </row>
    <row r="25" spans="1:21" s="20" customFormat="1" x14ac:dyDescent="0.2">
      <c r="A25" s="10">
        <v>224</v>
      </c>
      <c r="B25" s="11" t="s">
        <v>140</v>
      </c>
      <c r="C25" s="12"/>
      <c r="D25" s="12"/>
      <c r="E25" s="12" t="s">
        <v>141</v>
      </c>
      <c r="F25" s="13">
        <v>18325</v>
      </c>
      <c r="G25" s="14" t="s">
        <v>142</v>
      </c>
      <c r="H25" s="11" t="s">
        <v>57</v>
      </c>
      <c r="I25" s="15">
        <v>0</v>
      </c>
      <c r="J25" s="13">
        <v>46124</v>
      </c>
      <c r="K25" s="16" t="s">
        <v>143</v>
      </c>
      <c r="L25" s="17" t="s">
        <v>144</v>
      </c>
      <c r="M25" s="18">
        <v>3963.55</v>
      </c>
      <c r="N25" s="19">
        <f t="shared" si="0"/>
        <v>272.40639783944869</v>
      </c>
      <c r="O25" s="19">
        <f t="shared" si="1"/>
        <v>3691.1436021605514</v>
      </c>
      <c r="P25" s="19">
        <f>O25*15%</f>
        <v>553.67154032408268</v>
      </c>
      <c r="S25" s="19"/>
      <c r="U25" s="19"/>
    </row>
    <row r="26" spans="1:21" s="20" customFormat="1" x14ac:dyDescent="0.2">
      <c r="A26" s="10">
        <v>225</v>
      </c>
      <c r="B26" s="11" t="s">
        <v>145</v>
      </c>
      <c r="C26" s="12"/>
      <c r="D26" s="12"/>
      <c r="E26" s="12" t="s">
        <v>146</v>
      </c>
      <c r="F26" s="13">
        <v>22574</v>
      </c>
      <c r="G26" s="14" t="s">
        <v>147</v>
      </c>
      <c r="H26" s="11" t="s">
        <v>22</v>
      </c>
      <c r="I26" s="15">
        <v>0</v>
      </c>
      <c r="J26" s="13">
        <v>46124</v>
      </c>
      <c r="K26" s="16" t="s">
        <v>148</v>
      </c>
      <c r="L26" s="17" t="s">
        <v>74</v>
      </c>
      <c r="M26" s="18">
        <v>1012.98</v>
      </c>
      <c r="N26" s="19">
        <f t="shared" si="0"/>
        <v>69.61997019929224</v>
      </c>
      <c r="O26" s="19">
        <f t="shared" si="1"/>
        <v>943.36002980070771</v>
      </c>
      <c r="P26" s="19">
        <f>O26*10%</f>
        <v>94.336002980070774</v>
      </c>
      <c r="S26" s="19"/>
      <c r="U26" s="19"/>
    </row>
    <row r="27" spans="1:21" s="20" customFormat="1" x14ac:dyDescent="0.2">
      <c r="A27" s="10">
        <v>226</v>
      </c>
      <c r="B27" s="11" t="s">
        <v>149</v>
      </c>
      <c r="C27" s="12" t="s">
        <v>150</v>
      </c>
      <c r="D27" s="12"/>
      <c r="E27" s="12" t="s">
        <v>151</v>
      </c>
      <c r="F27" s="13">
        <v>30214</v>
      </c>
      <c r="G27" s="14" t="s">
        <v>152</v>
      </c>
      <c r="H27" s="11" t="s">
        <v>133</v>
      </c>
      <c r="I27" s="15">
        <v>0</v>
      </c>
      <c r="J27" s="13">
        <v>46125</v>
      </c>
      <c r="K27" s="16" t="s">
        <v>153</v>
      </c>
      <c r="L27" s="17" t="s">
        <v>154</v>
      </c>
      <c r="M27" s="18">
        <v>1914.21</v>
      </c>
      <c r="N27" s="19">
        <f t="shared" si="0"/>
        <v>131.5595995529894</v>
      </c>
      <c r="O27" s="19">
        <f t="shared" si="1"/>
        <v>1782.6504004470105</v>
      </c>
      <c r="P27" s="19">
        <f>O27*20%</f>
        <v>356.53008008940213</v>
      </c>
      <c r="S27" s="19"/>
      <c r="U27" s="19"/>
    </row>
    <row r="28" spans="1:21" s="20" customFormat="1" x14ac:dyDescent="0.2">
      <c r="A28" s="10">
        <v>227</v>
      </c>
      <c r="B28" s="11" t="s">
        <v>155</v>
      </c>
      <c r="C28" s="12"/>
      <c r="D28" s="12"/>
      <c r="E28" s="12" t="s">
        <v>156</v>
      </c>
      <c r="F28" s="13">
        <v>33927</v>
      </c>
      <c r="G28" s="14" t="s">
        <v>157</v>
      </c>
      <c r="H28" s="11" t="s">
        <v>133</v>
      </c>
      <c r="I28" s="15">
        <v>0</v>
      </c>
      <c r="J28" s="13">
        <v>46129</v>
      </c>
      <c r="K28" s="16" t="s">
        <v>158</v>
      </c>
      <c r="L28" s="17" t="s">
        <v>159</v>
      </c>
      <c r="M28" s="18">
        <v>5208.3900000000003</v>
      </c>
      <c r="N28" s="19">
        <f t="shared" si="0"/>
        <v>357.96161482585211</v>
      </c>
      <c r="O28" s="19">
        <f t="shared" si="1"/>
        <v>4850.4283851741475</v>
      </c>
      <c r="P28" s="19">
        <f>O28*20%</f>
        <v>970.08567703482959</v>
      </c>
      <c r="S28" s="19"/>
      <c r="U28" s="19"/>
    </row>
    <row r="29" spans="1:21" s="20" customFormat="1" x14ac:dyDescent="0.2">
      <c r="A29" s="10">
        <v>228</v>
      </c>
      <c r="B29" s="11" t="s">
        <v>160</v>
      </c>
      <c r="C29" s="12"/>
      <c r="D29" s="12"/>
      <c r="E29" s="12" t="s">
        <v>161</v>
      </c>
      <c r="F29" s="13">
        <v>20159</v>
      </c>
      <c r="G29" s="14" t="s">
        <v>162</v>
      </c>
      <c r="H29" s="11" t="s">
        <v>22</v>
      </c>
      <c r="I29" s="15">
        <v>0</v>
      </c>
      <c r="J29" s="13">
        <v>46130</v>
      </c>
      <c r="K29" s="16" t="s">
        <v>163</v>
      </c>
      <c r="L29" s="17" t="s">
        <v>164</v>
      </c>
      <c r="M29" s="18">
        <v>2385.44</v>
      </c>
      <c r="N29" s="19">
        <f t="shared" si="0"/>
        <v>163.94623952318867</v>
      </c>
      <c r="O29" s="19">
        <f t="shared" si="1"/>
        <v>2221.4937604768111</v>
      </c>
      <c r="P29" s="19">
        <f>O29*20%</f>
        <v>444.29875209536226</v>
      </c>
      <c r="S29" s="19"/>
      <c r="U29" s="19"/>
    </row>
    <row r="30" spans="1:21" s="20" customFormat="1" x14ac:dyDescent="0.2">
      <c r="A30" s="10">
        <v>229</v>
      </c>
      <c r="B30" s="11" t="s">
        <v>165</v>
      </c>
      <c r="C30" s="12"/>
      <c r="D30" s="12"/>
      <c r="E30" s="12" t="s">
        <v>166</v>
      </c>
      <c r="F30" s="13">
        <v>30084</v>
      </c>
      <c r="G30" s="14" t="s">
        <v>167</v>
      </c>
      <c r="H30" s="11" t="s">
        <v>40</v>
      </c>
      <c r="I30" s="15">
        <v>0</v>
      </c>
      <c r="J30" s="13">
        <v>46134</v>
      </c>
      <c r="K30" s="16" t="s">
        <v>168</v>
      </c>
      <c r="L30" s="17" t="s">
        <v>169</v>
      </c>
      <c r="M30" s="18">
        <v>2775.06</v>
      </c>
      <c r="N30" s="19">
        <f t="shared" si="0"/>
        <v>190.72399701992921</v>
      </c>
      <c r="O30" s="19">
        <f t="shared" si="1"/>
        <v>2584.3360029800706</v>
      </c>
      <c r="P30" s="19">
        <f>O30*20%</f>
        <v>516.86720059601419</v>
      </c>
      <c r="S30" s="19"/>
      <c r="U30" s="19"/>
    </row>
    <row r="31" spans="1:21" s="20" customFormat="1" x14ac:dyDescent="0.2">
      <c r="A31" s="10">
        <v>230</v>
      </c>
      <c r="B31" s="11" t="s">
        <v>170</v>
      </c>
      <c r="C31" s="12"/>
      <c r="D31" s="12"/>
      <c r="E31" s="12" t="s">
        <v>171</v>
      </c>
      <c r="F31" s="13">
        <v>23423</v>
      </c>
      <c r="G31" s="14" t="s">
        <v>172</v>
      </c>
      <c r="H31" s="11" t="s">
        <v>34</v>
      </c>
      <c r="I31" s="15">
        <v>0</v>
      </c>
      <c r="J31" s="13">
        <v>46137</v>
      </c>
      <c r="K31" s="16" t="s">
        <v>173</v>
      </c>
      <c r="L31" s="17" t="s">
        <v>174</v>
      </c>
      <c r="M31" s="18">
        <v>4414.5600000000004</v>
      </c>
      <c r="N31" s="19">
        <f t="shared" si="0"/>
        <v>303.40336002980075</v>
      </c>
      <c r="O31" s="19">
        <f t="shared" si="1"/>
        <v>4111.1566399701996</v>
      </c>
      <c r="P31" s="19">
        <f>O31*10%</f>
        <v>411.11566399701996</v>
      </c>
      <c r="S31" s="19"/>
      <c r="U31" s="19"/>
    </row>
    <row r="32" spans="1:21" s="20" customFormat="1" x14ac:dyDescent="0.2">
      <c r="A32" s="10">
        <v>231</v>
      </c>
      <c r="B32" s="11" t="s">
        <v>175</v>
      </c>
      <c r="C32" s="12"/>
      <c r="D32" s="12"/>
      <c r="E32" s="12" t="s">
        <v>176</v>
      </c>
      <c r="F32" s="13">
        <v>29546</v>
      </c>
      <c r="G32" s="14" t="s">
        <v>177</v>
      </c>
      <c r="H32" s="11" t="s">
        <v>34</v>
      </c>
      <c r="I32" s="15">
        <v>0</v>
      </c>
      <c r="J32" s="13">
        <v>46137</v>
      </c>
      <c r="K32" s="16" t="s">
        <v>178</v>
      </c>
      <c r="L32" s="17" t="s">
        <v>179</v>
      </c>
      <c r="M32" s="18">
        <v>4429.4799999999996</v>
      </c>
      <c r="N32" s="19">
        <f t="shared" si="0"/>
        <v>304.42878003352575</v>
      </c>
      <c r="O32" s="19">
        <f t="shared" si="1"/>
        <v>4125.0512199664736</v>
      </c>
      <c r="P32" s="19">
        <f>O32*18%</f>
        <v>742.50921959396521</v>
      </c>
      <c r="S32" s="19"/>
      <c r="U32" s="19"/>
    </row>
    <row r="33" spans="1:21" s="20" customFormat="1" x14ac:dyDescent="0.2">
      <c r="A33" s="10">
        <v>233</v>
      </c>
      <c r="B33" s="11" t="s">
        <v>180</v>
      </c>
      <c r="C33" s="12"/>
      <c r="D33" s="12"/>
      <c r="E33" s="12" t="s">
        <v>181</v>
      </c>
      <c r="F33" s="13">
        <v>30228</v>
      </c>
      <c r="G33" s="14" t="s">
        <v>182</v>
      </c>
      <c r="H33" s="11" t="s">
        <v>28</v>
      </c>
      <c r="I33" s="15">
        <v>4</v>
      </c>
      <c r="J33" s="13">
        <v>46138</v>
      </c>
      <c r="K33" s="16" t="s">
        <v>183</v>
      </c>
      <c r="L33" s="17" t="s">
        <v>184</v>
      </c>
      <c r="M33" s="18">
        <v>2598.2600000000002</v>
      </c>
      <c r="N33" s="19">
        <f t="shared" si="0"/>
        <v>178.5729074315515</v>
      </c>
      <c r="O33" s="19">
        <f t="shared" si="1"/>
        <v>2419.6870925684484</v>
      </c>
      <c r="P33" s="19">
        <f>O33*15%</f>
        <v>362.95306388526723</v>
      </c>
      <c r="S33" s="19"/>
      <c r="U33" s="19"/>
    </row>
    <row r="34" spans="1:21" s="20" customFormat="1" x14ac:dyDescent="0.2">
      <c r="A34" s="10">
        <v>234</v>
      </c>
      <c r="B34" s="11" t="s">
        <v>185</v>
      </c>
      <c r="C34" s="12"/>
      <c r="D34" s="12"/>
      <c r="E34" s="12" t="s">
        <v>186</v>
      </c>
      <c r="F34" s="13">
        <v>26382</v>
      </c>
      <c r="G34" s="14" t="s">
        <v>187</v>
      </c>
      <c r="H34" s="11" t="s">
        <v>188</v>
      </c>
      <c r="I34" s="15">
        <v>4</v>
      </c>
      <c r="J34" s="13">
        <v>46139</v>
      </c>
      <c r="K34" s="16" t="s">
        <v>189</v>
      </c>
      <c r="L34" s="17" t="s">
        <v>190</v>
      </c>
      <c r="M34" s="18">
        <v>766.01</v>
      </c>
      <c r="N34" s="19">
        <f t="shared" si="0"/>
        <v>52.646245110821376</v>
      </c>
      <c r="O34" s="19">
        <f t="shared" si="1"/>
        <v>713.36375488917849</v>
      </c>
      <c r="P34" s="19">
        <f>O34*15%</f>
        <v>107.00456323337677</v>
      </c>
      <c r="S34" s="19"/>
      <c r="U34" s="19"/>
    </row>
    <row r="35" spans="1:21" s="20" customFormat="1" x14ac:dyDescent="0.2">
      <c r="A35" s="10">
        <v>235</v>
      </c>
      <c r="B35" s="11" t="s">
        <v>191</v>
      </c>
      <c r="C35" s="12"/>
      <c r="D35" s="12"/>
      <c r="E35" s="12" t="s">
        <v>192</v>
      </c>
      <c r="F35" s="13">
        <v>21280</v>
      </c>
      <c r="G35" s="14" t="s">
        <v>193</v>
      </c>
      <c r="H35" s="11" t="s">
        <v>22</v>
      </c>
      <c r="I35" s="15">
        <v>0</v>
      </c>
      <c r="J35" s="13">
        <v>46142</v>
      </c>
      <c r="K35" s="16" t="s">
        <v>194</v>
      </c>
      <c r="L35" s="17" t="s">
        <v>195</v>
      </c>
      <c r="M35" s="18">
        <v>3859.53</v>
      </c>
      <c r="N35" s="19">
        <f t="shared" si="0"/>
        <v>265.25732352393374</v>
      </c>
      <c r="O35" s="19">
        <f t="shared" si="1"/>
        <v>3594.2726764760664</v>
      </c>
      <c r="P35" s="19">
        <f>O35*15%</f>
        <v>539.14090147140996</v>
      </c>
      <c r="S35" s="19"/>
      <c r="U35" s="19"/>
    </row>
    <row r="36" spans="1:21" s="20" customFormat="1" x14ac:dyDescent="0.2">
      <c r="A36" s="10">
        <v>236</v>
      </c>
      <c r="B36" s="11" t="s">
        <v>196</v>
      </c>
      <c r="C36" s="12"/>
      <c r="D36" s="12"/>
      <c r="E36" s="12" t="s">
        <v>197</v>
      </c>
      <c r="F36" s="13">
        <v>35769</v>
      </c>
      <c r="G36" s="14" t="s">
        <v>198</v>
      </c>
      <c r="H36" s="11" t="s">
        <v>46</v>
      </c>
      <c r="I36" s="15">
        <v>0</v>
      </c>
      <c r="J36" s="13">
        <v>46142</v>
      </c>
      <c r="K36" s="16" t="s">
        <v>199</v>
      </c>
      <c r="L36" s="17" t="s">
        <v>200</v>
      </c>
      <c r="M36" s="18">
        <v>2145.16</v>
      </c>
      <c r="N36" s="19">
        <f t="shared" si="0"/>
        <v>147.43230396721921</v>
      </c>
      <c r="O36" s="19">
        <f t="shared" si="1"/>
        <v>1997.7276960327804</v>
      </c>
      <c r="P36" s="19">
        <f>O36*20%</f>
        <v>399.5455392065561</v>
      </c>
      <c r="S36" s="19"/>
      <c r="U36" s="19"/>
    </row>
    <row r="37" spans="1:21" s="20" customFormat="1" x14ac:dyDescent="0.2">
      <c r="A37" s="10">
        <v>237</v>
      </c>
      <c r="B37" s="11" t="s">
        <v>201</v>
      </c>
      <c r="C37" s="12"/>
      <c r="D37" s="12"/>
      <c r="E37" s="12" t="s">
        <v>202</v>
      </c>
      <c r="F37" s="13">
        <v>35711</v>
      </c>
      <c r="G37" s="14" t="s">
        <v>203</v>
      </c>
      <c r="H37" s="11" t="s">
        <v>204</v>
      </c>
      <c r="I37" s="15">
        <v>0</v>
      </c>
      <c r="J37" s="13">
        <v>46142</v>
      </c>
      <c r="K37" s="16" t="s">
        <v>205</v>
      </c>
      <c r="L37" s="17" t="s">
        <v>206</v>
      </c>
      <c r="M37" s="18">
        <v>3111.82</v>
      </c>
      <c r="N37" s="19">
        <f t="shared" si="0"/>
        <v>213.86879865896816</v>
      </c>
      <c r="O37" s="19">
        <f t="shared" si="1"/>
        <v>2897.9512013410317</v>
      </c>
      <c r="P37" s="19">
        <f>O37*20%</f>
        <v>579.59024026820634</v>
      </c>
      <c r="S37" s="19"/>
      <c r="U37" s="19"/>
    </row>
    <row r="38" spans="1:21" s="20" customFormat="1" x14ac:dyDescent="0.2">
      <c r="A38" s="10">
        <v>238</v>
      </c>
      <c r="B38" s="11" t="s">
        <v>207</v>
      </c>
      <c r="C38" s="12" t="s">
        <v>208</v>
      </c>
      <c r="D38" s="12"/>
      <c r="E38" s="12" t="s">
        <v>209</v>
      </c>
      <c r="F38" s="13">
        <v>21503</v>
      </c>
      <c r="G38" s="14" t="s">
        <v>210</v>
      </c>
      <c r="H38" s="11" t="s">
        <v>133</v>
      </c>
      <c r="I38" s="15">
        <v>0</v>
      </c>
      <c r="J38" s="13">
        <v>46144</v>
      </c>
      <c r="K38" s="16" t="s">
        <v>211</v>
      </c>
      <c r="L38" s="17" t="s">
        <v>212</v>
      </c>
      <c r="M38" s="18">
        <v>1830.66</v>
      </c>
      <c r="N38" s="19">
        <f t="shared" si="0"/>
        <v>125.81738498789348</v>
      </c>
      <c r="O38" s="19">
        <f t="shared" si="1"/>
        <v>1704.8426150121065</v>
      </c>
      <c r="P38" s="19">
        <f>O38*25%</f>
        <v>426.21065375302663</v>
      </c>
      <c r="S38" s="19"/>
      <c r="U38" s="19"/>
    </row>
    <row r="39" spans="1:21" s="20" customFormat="1" x14ac:dyDescent="0.2">
      <c r="A39" s="10">
        <v>239</v>
      </c>
      <c r="B39" s="11" t="s">
        <v>213</v>
      </c>
      <c r="C39" s="12" t="s">
        <v>214</v>
      </c>
      <c r="D39" s="12"/>
      <c r="E39" s="12" t="s">
        <v>215</v>
      </c>
      <c r="F39" s="13">
        <v>24360</v>
      </c>
      <c r="G39" s="14" t="s">
        <v>216</v>
      </c>
      <c r="H39" s="11" t="s">
        <v>133</v>
      </c>
      <c r="I39" s="15">
        <v>1</v>
      </c>
      <c r="J39" s="13">
        <v>46148</v>
      </c>
      <c r="K39" s="16" t="s">
        <v>217</v>
      </c>
      <c r="L39" s="17" t="s">
        <v>74</v>
      </c>
      <c r="M39" s="18">
        <v>602.28</v>
      </c>
      <c r="N39" s="19">
        <f t="shared" si="0"/>
        <v>41.393428943937415</v>
      </c>
      <c r="O39" s="19">
        <f t="shared" si="1"/>
        <v>560.88657105606251</v>
      </c>
      <c r="P39" s="19">
        <f>O39*20%</f>
        <v>112.1773142112125</v>
      </c>
      <c r="S39" s="19"/>
      <c r="U39" s="19"/>
    </row>
    <row r="40" spans="1:21" s="20" customFormat="1" x14ac:dyDescent="0.2">
      <c r="A40" s="10">
        <v>240</v>
      </c>
      <c r="B40" s="11" t="s">
        <v>218</v>
      </c>
      <c r="C40" s="12"/>
      <c r="D40" s="12"/>
      <c r="E40" s="12" t="s">
        <v>219</v>
      </c>
      <c r="F40" s="13"/>
      <c r="G40" s="14" t="s">
        <v>220</v>
      </c>
      <c r="H40" s="11" t="s">
        <v>40</v>
      </c>
      <c r="I40" s="15">
        <v>0</v>
      </c>
      <c r="J40" s="13">
        <v>46150</v>
      </c>
      <c r="K40" s="16" t="s">
        <v>221</v>
      </c>
      <c r="L40" s="17" t="s">
        <v>222</v>
      </c>
      <c r="M40" s="18">
        <v>2608.0700000000002</v>
      </c>
      <c r="N40" s="19">
        <f t="shared" si="0"/>
        <v>179.247127956789</v>
      </c>
      <c r="O40" s="19">
        <f t="shared" si="1"/>
        <v>2428.8228720432112</v>
      </c>
      <c r="P40" s="19">
        <f>O40*20%</f>
        <v>485.76457440864226</v>
      </c>
      <c r="S40" s="19"/>
      <c r="U40" s="19"/>
    </row>
    <row r="41" spans="1:21" s="20" customFormat="1" x14ac:dyDescent="0.2">
      <c r="A41" s="10">
        <v>241</v>
      </c>
      <c r="B41" s="11" t="s">
        <v>223</v>
      </c>
      <c r="C41" s="12" t="s">
        <v>224</v>
      </c>
      <c r="D41" s="12"/>
      <c r="E41" s="12" t="s">
        <v>225</v>
      </c>
      <c r="F41" s="13">
        <v>18040</v>
      </c>
      <c r="G41" s="14" t="s">
        <v>226</v>
      </c>
      <c r="H41" s="11" t="s">
        <v>227</v>
      </c>
      <c r="I41" s="15">
        <v>0</v>
      </c>
      <c r="J41" s="13">
        <v>46152</v>
      </c>
      <c r="K41" s="16" t="s">
        <v>228</v>
      </c>
      <c r="L41" s="17" t="s">
        <v>229</v>
      </c>
      <c r="M41" s="18">
        <v>2711.16</v>
      </c>
      <c r="N41" s="19">
        <f t="shared" si="0"/>
        <v>186.33228534177684</v>
      </c>
      <c r="O41" s="19">
        <f t="shared" si="1"/>
        <v>2524.8277146582227</v>
      </c>
      <c r="P41" s="19">
        <f>O41*10%</f>
        <v>252.48277146582228</v>
      </c>
      <c r="S41" s="19"/>
      <c r="U41" s="19"/>
    </row>
    <row r="42" spans="1:21" s="20" customFormat="1" x14ac:dyDescent="0.2">
      <c r="A42" s="10">
        <v>242</v>
      </c>
      <c r="B42" s="11" t="s">
        <v>230</v>
      </c>
      <c r="C42" s="12"/>
      <c r="D42" s="12"/>
      <c r="E42" s="12" t="s">
        <v>231</v>
      </c>
      <c r="F42" s="13">
        <v>28538</v>
      </c>
      <c r="G42" s="14" t="s">
        <v>232</v>
      </c>
      <c r="H42" s="11" t="s">
        <v>40</v>
      </c>
      <c r="I42" s="15">
        <v>1</v>
      </c>
      <c r="J42" s="13">
        <v>46152</v>
      </c>
      <c r="K42" s="16" t="s">
        <v>233</v>
      </c>
      <c r="L42" s="17" t="s">
        <v>74</v>
      </c>
      <c r="M42" s="18">
        <v>1560.83</v>
      </c>
      <c r="N42" s="19">
        <f t="shared" si="0"/>
        <v>107.27254051033712</v>
      </c>
      <c r="O42" s="19">
        <f t="shared" si="1"/>
        <v>1453.5574594896627</v>
      </c>
      <c r="P42" s="19">
        <f>O42*20%</f>
        <v>290.71149189793255</v>
      </c>
      <c r="S42" s="19"/>
      <c r="U42" s="19"/>
    </row>
    <row r="43" spans="1:21" s="20" customFormat="1" x14ac:dyDescent="0.2">
      <c r="A43" s="10">
        <v>243</v>
      </c>
      <c r="B43" s="11" t="s">
        <v>234</v>
      </c>
      <c r="C43" s="12" t="s">
        <v>235</v>
      </c>
      <c r="D43" s="12"/>
      <c r="E43" s="12" t="s">
        <v>89</v>
      </c>
      <c r="F43" s="13">
        <v>21123</v>
      </c>
      <c r="G43" s="14" t="s">
        <v>90</v>
      </c>
      <c r="H43" s="11" t="s">
        <v>22</v>
      </c>
      <c r="I43" s="15">
        <v>0</v>
      </c>
      <c r="J43" s="13">
        <v>46152</v>
      </c>
      <c r="K43" s="16" t="s">
        <v>236</v>
      </c>
      <c r="L43" s="17" t="s">
        <v>237</v>
      </c>
      <c r="M43" s="18">
        <v>3657.38</v>
      </c>
      <c r="N43" s="19">
        <f t="shared" si="0"/>
        <v>251.36398211957533</v>
      </c>
      <c r="O43" s="19">
        <f t="shared" si="1"/>
        <v>3406.0160178804244</v>
      </c>
      <c r="P43" s="19">
        <f>O43*20%</f>
        <v>681.20320357608489</v>
      </c>
      <c r="S43" s="19"/>
      <c r="U43" s="19"/>
    </row>
    <row r="44" spans="1:21" s="20" customFormat="1" x14ac:dyDescent="0.2">
      <c r="A44" s="10">
        <v>244</v>
      </c>
      <c r="B44" s="11" t="s">
        <v>238</v>
      </c>
      <c r="C44" s="12" t="s">
        <v>239</v>
      </c>
      <c r="D44" s="12"/>
      <c r="E44" s="12" t="s">
        <v>240</v>
      </c>
      <c r="F44" s="13">
        <v>29498</v>
      </c>
      <c r="G44" s="14" t="s">
        <v>241</v>
      </c>
      <c r="H44" s="11" t="s">
        <v>227</v>
      </c>
      <c r="I44" s="15">
        <v>0</v>
      </c>
      <c r="J44" s="13">
        <v>46152</v>
      </c>
      <c r="K44" s="16" t="s">
        <v>242</v>
      </c>
      <c r="L44" t="s">
        <v>243</v>
      </c>
      <c r="M44" s="18">
        <v>1525.54</v>
      </c>
      <c r="N44" s="19">
        <f t="shared" si="0"/>
        <v>104.84713354442168</v>
      </c>
      <c r="O44" s="19">
        <f t="shared" si="1"/>
        <v>1420.6928664555783</v>
      </c>
      <c r="P44" s="19">
        <f>O44*20%</f>
        <v>284.13857329111568</v>
      </c>
      <c r="S44" s="19"/>
      <c r="U44" s="19"/>
    </row>
    <row r="45" spans="1:21" s="20" customFormat="1" x14ac:dyDescent="0.2">
      <c r="A45" s="10">
        <v>245</v>
      </c>
      <c r="B45" s="11" t="s">
        <v>244</v>
      </c>
      <c r="C45" s="12"/>
      <c r="D45" s="12"/>
      <c r="E45" s="12">
        <v>41991373141</v>
      </c>
      <c r="F45" s="13">
        <v>27006</v>
      </c>
      <c r="G45" s="14" t="s">
        <v>245</v>
      </c>
      <c r="H45" s="11" t="s">
        <v>40</v>
      </c>
      <c r="I45" s="15">
        <v>0</v>
      </c>
      <c r="J45" s="13">
        <v>46154</v>
      </c>
      <c r="K45" s="16" t="s">
        <v>246</v>
      </c>
      <c r="L45" s="17" t="s">
        <v>247</v>
      </c>
      <c r="M45" s="18">
        <v>1664.81</v>
      </c>
      <c r="N45" s="19">
        <f t="shared" si="0"/>
        <v>114.41886571056061</v>
      </c>
      <c r="O45" s="19">
        <f t="shared" si="1"/>
        <v>1550.3911342894392</v>
      </c>
      <c r="P45" s="19">
        <f>O45*20%</f>
        <v>310.07822685788784</v>
      </c>
      <c r="S45" s="19"/>
      <c r="U45" s="19"/>
    </row>
    <row r="46" spans="1:21" s="20" customFormat="1" x14ac:dyDescent="0.2">
      <c r="A46" s="10">
        <v>246</v>
      </c>
      <c r="B46" s="11" t="s">
        <v>248</v>
      </c>
      <c r="C46" s="12"/>
      <c r="D46" s="12" t="s">
        <v>249</v>
      </c>
      <c r="E46" s="12" t="s">
        <v>250</v>
      </c>
      <c r="F46" s="13">
        <v>33430</v>
      </c>
      <c r="G46" s="14" t="s">
        <v>251</v>
      </c>
      <c r="H46" s="11" t="s">
        <v>22</v>
      </c>
      <c r="I46" s="15">
        <v>0</v>
      </c>
      <c r="J46" s="13">
        <v>46154</v>
      </c>
      <c r="K46" s="16" t="s">
        <v>252</v>
      </c>
      <c r="L46" s="17" t="s">
        <v>253</v>
      </c>
      <c r="M46" s="18">
        <v>2388.6</v>
      </c>
      <c r="N46" s="19">
        <f t="shared" si="0"/>
        <v>164.16341963121621</v>
      </c>
      <c r="O46" s="19">
        <f t="shared" si="1"/>
        <v>2224.4365803687833</v>
      </c>
      <c r="P46" s="19">
        <f>O46*15%</f>
        <v>333.6654870553175</v>
      </c>
      <c r="S46" s="19"/>
      <c r="U46" s="19"/>
    </row>
    <row r="47" spans="1:21" s="20" customFormat="1" x14ac:dyDescent="0.2">
      <c r="A47" s="10">
        <v>248</v>
      </c>
      <c r="B47" s="11" t="s">
        <v>254</v>
      </c>
      <c r="C47" s="12"/>
      <c r="D47" s="12"/>
      <c r="E47" s="12" t="s">
        <v>255</v>
      </c>
      <c r="F47" s="13">
        <v>36622</v>
      </c>
      <c r="G47" s="14" t="s">
        <v>256</v>
      </c>
      <c r="H47" s="11" t="s">
        <v>34</v>
      </c>
      <c r="I47" s="15">
        <v>0</v>
      </c>
      <c r="J47" s="13">
        <v>46154</v>
      </c>
      <c r="K47" s="16" t="s">
        <v>257</v>
      </c>
      <c r="L47" s="17" t="s">
        <v>258</v>
      </c>
      <c r="M47" s="18">
        <v>3515.43</v>
      </c>
      <c r="N47" s="19">
        <f t="shared" si="0"/>
        <v>241.60805922890668</v>
      </c>
      <c r="O47" s="19">
        <f t="shared" si="1"/>
        <v>3273.8219407710931</v>
      </c>
      <c r="P47" s="19">
        <f>O47*15%</f>
        <v>491.07329111566395</v>
      </c>
      <c r="S47" s="19"/>
      <c r="U47" s="19"/>
    </row>
    <row r="48" spans="1:21" s="20" customFormat="1" x14ac:dyDescent="0.2">
      <c r="A48" s="10">
        <v>102</v>
      </c>
      <c r="B48" s="11" t="s">
        <v>259</v>
      </c>
      <c r="C48" s="12"/>
      <c r="D48" s="12"/>
      <c r="E48" s="12" t="s">
        <v>260</v>
      </c>
      <c r="F48" s="13">
        <v>25208</v>
      </c>
      <c r="G48" s="14" t="s">
        <v>261</v>
      </c>
      <c r="H48" s="11" t="s">
        <v>46</v>
      </c>
      <c r="I48" s="15">
        <v>0</v>
      </c>
      <c r="J48" s="13">
        <v>46156</v>
      </c>
      <c r="K48" s="16" t="s">
        <v>262</v>
      </c>
      <c r="L48" s="17" t="s">
        <v>263</v>
      </c>
      <c r="M48" s="18">
        <v>4353.7299999999996</v>
      </c>
      <c r="N48" s="19">
        <f t="shared" si="0"/>
        <v>299.22264295027003</v>
      </c>
      <c r="O48" s="19">
        <f t="shared" si="1"/>
        <v>4054.5073570497293</v>
      </c>
      <c r="P48" s="19">
        <f>O48*20%</f>
        <v>810.90147140994588</v>
      </c>
      <c r="S48" s="19"/>
      <c r="U48" s="19"/>
    </row>
    <row r="49" spans="1:21" s="20" customFormat="1" x14ac:dyDescent="0.2">
      <c r="A49" s="10">
        <v>1</v>
      </c>
      <c r="B49" s="11" t="s">
        <v>264</v>
      </c>
      <c r="C49" s="12"/>
      <c r="D49" s="12"/>
      <c r="E49" s="12" t="s">
        <v>265</v>
      </c>
      <c r="F49" s="13">
        <v>25748</v>
      </c>
      <c r="G49" s="14" t="s">
        <v>266</v>
      </c>
      <c r="H49" s="11" t="s">
        <v>188</v>
      </c>
      <c r="I49" s="15">
        <v>0</v>
      </c>
      <c r="J49" s="13">
        <v>46157</v>
      </c>
      <c r="K49" s="16" t="s">
        <v>267</v>
      </c>
      <c r="L49" t="s">
        <v>268</v>
      </c>
      <c r="M49" s="18">
        <v>2392.5100000000002</v>
      </c>
      <c r="N49" s="19">
        <f t="shared" si="0"/>
        <v>164.43214565095923</v>
      </c>
      <c r="O49" s="19">
        <f t="shared" si="1"/>
        <v>2228.077854349041</v>
      </c>
      <c r="P49" s="19">
        <f>O49*20%</f>
        <v>445.61557086980821</v>
      </c>
      <c r="S49" s="19"/>
      <c r="U49" s="19"/>
    </row>
    <row r="50" spans="1:21" s="20" customFormat="1" x14ac:dyDescent="0.2">
      <c r="A50" s="10">
        <v>84</v>
      </c>
      <c r="B50" s="11" t="s">
        <v>269</v>
      </c>
      <c r="C50" s="12"/>
      <c r="D50" s="12"/>
      <c r="E50" s="12" t="s">
        <v>270</v>
      </c>
      <c r="F50" s="13">
        <v>19171</v>
      </c>
      <c r="G50" s="14" t="s">
        <v>271</v>
      </c>
      <c r="H50" s="11" t="s">
        <v>22</v>
      </c>
      <c r="I50" s="15">
        <v>0</v>
      </c>
      <c r="J50" s="13">
        <v>46158</v>
      </c>
      <c r="K50" s="16" t="s">
        <v>272</v>
      </c>
      <c r="L50" s="17" t="s">
        <v>273</v>
      </c>
      <c r="M50" s="18">
        <v>3477.97</v>
      </c>
      <c r="N50" s="19">
        <f t="shared" si="0"/>
        <v>239.033512758428</v>
      </c>
      <c r="O50" s="19">
        <f t="shared" si="1"/>
        <v>3238.9364872415717</v>
      </c>
      <c r="P50" s="19">
        <f>O50*15%</f>
        <v>485.84047308623576</v>
      </c>
      <c r="S50" s="19"/>
      <c r="U50" s="19"/>
    </row>
    <row r="51" spans="1:21" s="20" customFormat="1" x14ac:dyDescent="0.2">
      <c r="A51" s="10">
        <v>2</v>
      </c>
      <c r="B51" s="11" t="s">
        <v>274</v>
      </c>
      <c r="C51" s="12"/>
      <c r="D51" s="12"/>
      <c r="E51" s="12" t="s">
        <v>275</v>
      </c>
      <c r="F51" s="13">
        <v>32211</v>
      </c>
      <c r="G51" s="14" t="s">
        <v>276</v>
      </c>
      <c r="H51" s="11" t="s">
        <v>28</v>
      </c>
      <c r="I51" s="15">
        <v>0</v>
      </c>
      <c r="J51" s="13">
        <v>46158</v>
      </c>
      <c r="K51" s="16" t="s">
        <v>277</v>
      </c>
      <c r="L51" s="17" t="s">
        <v>278</v>
      </c>
      <c r="M51" s="18">
        <v>1467.47</v>
      </c>
      <c r="N51" s="19">
        <f t="shared" si="0"/>
        <v>100.85610542000373</v>
      </c>
      <c r="O51" s="19">
        <f t="shared" si="1"/>
        <v>1366.6138945799962</v>
      </c>
      <c r="P51" s="19">
        <f>O51*20%</f>
        <v>273.32277891599927</v>
      </c>
      <c r="S51" s="19"/>
      <c r="U51" s="19"/>
    </row>
    <row r="52" spans="1:21" s="20" customFormat="1" x14ac:dyDescent="0.2">
      <c r="A52" s="10">
        <v>247</v>
      </c>
      <c r="B52" s="11" t="s">
        <v>279</v>
      </c>
      <c r="C52" s="12"/>
      <c r="D52" s="12"/>
      <c r="E52" s="12" t="s">
        <v>120</v>
      </c>
      <c r="F52" s="13">
        <v>26611</v>
      </c>
      <c r="G52" s="14" t="s">
        <v>121</v>
      </c>
      <c r="H52" s="11" t="s">
        <v>22</v>
      </c>
      <c r="I52" s="15">
        <v>0</v>
      </c>
      <c r="J52" s="13">
        <v>46159</v>
      </c>
      <c r="K52" s="16" t="s">
        <v>122</v>
      </c>
      <c r="L52" s="17" t="s">
        <v>280</v>
      </c>
      <c r="M52" s="18">
        <v>1770.18</v>
      </c>
      <c r="N52" s="19">
        <f t="shared" si="0"/>
        <v>121.66072266716334</v>
      </c>
      <c r="O52" s="19">
        <f t="shared" si="1"/>
        <v>1648.5192773328365</v>
      </c>
      <c r="P52" s="19">
        <f>O52*20%</f>
        <v>329.70385546656735</v>
      </c>
      <c r="S52" s="19"/>
      <c r="U52" s="19"/>
    </row>
    <row r="53" spans="1:21" s="20" customFormat="1" x14ac:dyDescent="0.2">
      <c r="A53" s="10">
        <v>3</v>
      </c>
      <c r="B53" s="11" t="s">
        <v>281</v>
      </c>
      <c r="C53" s="12"/>
      <c r="D53" s="12"/>
      <c r="E53" s="12" t="s">
        <v>282</v>
      </c>
      <c r="F53" s="13">
        <v>22082</v>
      </c>
      <c r="G53" s="14" t="s">
        <v>283</v>
      </c>
      <c r="H53" s="11" t="s">
        <v>188</v>
      </c>
      <c r="I53" s="15">
        <v>0</v>
      </c>
      <c r="J53" s="13">
        <v>46160</v>
      </c>
      <c r="K53" s="16" t="s">
        <v>284</v>
      </c>
      <c r="L53" s="17" t="s">
        <v>285</v>
      </c>
      <c r="M53" s="18">
        <v>3297.79</v>
      </c>
      <c r="N53" s="19">
        <f t="shared" si="0"/>
        <v>226.65012292791954</v>
      </c>
      <c r="O53" s="19">
        <f t="shared" si="1"/>
        <v>3071.1398770720803</v>
      </c>
      <c r="P53" s="19">
        <f>O53*20%</f>
        <v>614.22797541441605</v>
      </c>
      <c r="S53" s="19"/>
      <c r="U53" s="19"/>
    </row>
    <row r="54" spans="1:21" s="20" customFormat="1" x14ac:dyDescent="0.2">
      <c r="A54" s="10">
        <v>4</v>
      </c>
      <c r="B54" s="11" t="s">
        <v>286</v>
      </c>
      <c r="C54" s="12" t="s">
        <v>287</v>
      </c>
      <c r="D54" s="12" t="s">
        <v>288</v>
      </c>
      <c r="E54" s="12" t="s">
        <v>289</v>
      </c>
      <c r="F54" s="13">
        <v>16161</v>
      </c>
      <c r="G54" s="14" t="s">
        <v>290</v>
      </c>
      <c r="H54" s="11" t="s">
        <v>28</v>
      </c>
      <c r="I54" s="15">
        <v>0</v>
      </c>
      <c r="J54" s="13">
        <v>46160</v>
      </c>
      <c r="K54" s="16" t="s">
        <v>291</v>
      </c>
      <c r="L54" s="17" t="s">
        <v>292</v>
      </c>
      <c r="M54" s="18">
        <v>1405.48</v>
      </c>
      <c r="N54" s="19">
        <f t="shared" si="0"/>
        <v>96.595663997019926</v>
      </c>
      <c r="O54" s="19">
        <f t="shared" si="1"/>
        <v>1308.88433600298</v>
      </c>
      <c r="P54" s="19">
        <f>O54*20%</f>
        <v>261.77686720059603</v>
      </c>
      <c r="S54" s="19"/>
      <c r="U54" s="19"/>
    </row>
    <row r="55" spans="1:21" s="20" customFormat="1" x14ac:dyDescent="0.2">
      <c r="A55" s="20">
        <v>247</v>
      </c>
      <c r="B55" s="11" t="s">
        <v>293</v>
      </c>
      <c r="C55" s="12"/>
      <c r="D55" s="12" t="s">
        <v>294</v>
      </c>
      <c r="E55" s="12" t="s">
        <v>295</v>
      </c>
      <c r="F55" s="13">
        <v>35564</v>
      </c>
      <c r="G55" s="14" t="s">
        <v>296</v>
      </c>
      <c r="H55" s="11" t="s">
        <v>297</v>
      </c>
      <c r="I55" s="15">
        <v>0</v>
      </c>
      <c r="J55" s="13">
        <v>46160</v>
      </c>
      <c r="K55" s="16" t="s">
        <v>298</v>
      </c>
      <c r="L55" s="17" t="s">
        <v>299</v>
      </c>
      <c r="M55" s="18">
        <v>2425.36</v>
      </c>
      <c r="N55" s="19">
        <f t="shared" si="0"/>
        <v>166.68985658409386</v>
      </c>
      <c r="O55" s="19">
        <f t="shared" si="1"/>
        <v>2258.6701434159058</v>
      </c>
      <c r="P55" s="19">
        <f>O55*15%</f>
        <v>338.80052151238584</v>
      </c>
      <c r="S55" s="19"/>
      <c r="U55" s="19"/>
    </row>
    <row r="56" spans="1:21" s="20" customFormat="1" x14ac:dyDescent="0.2">
      <c r="A56" s="20">
        <v>248</v>
      </c>
      <c r="B56" s="11" t="s">
        <v>300</v>
      </c>
      <c r="C56" s="12"/>
      <c r="D56" s="12"/>
      <c r="E56" s="12" t="s">
        <v>80</v>
      </c>
      <c r="F56" s="13">
        <v>32171</v>
      </c>
      <c r="G56" s="14" t="s">
        <v>81</v>
      </c>
      <c r="H56" s="11" t="s">
        <v>34</v>
      </c>
      <c r="I56" s="15">
        <v>4</v>
      </c>
      <c r="J56" s="13">
        <v>46161</v>
      </c>
      <c r="K56" s="16" t="s">
        <v>301</v>
      </c>
      <c r="L56" s="17" t="s">
        <v>302</v>
      </c>
      <c r="M56" s="18">
        <v>1276.08</v>
      </c>
      <c r="N56" s="19">
        <f t="shared" si="0"/>
        <v>87.702276029055682</v>
      </c>
      <c r="O56" s="19">
        <f t="shared" si="1"/>
        <v>1188.3777239709441</v>
      </c>
      <c r="P56" s="19">
        <f>O56*20%</f>
        <v>237.67554479418882</v>
      </c>
      <c r="S56" s="19"/>
      <c r="U56" s="19"/>
    </row>
    <row r="57" spans="1:21" s="20" customFormat="1" x14ac:dyDescent="0.2">
      <c r="A57" s="20">
        <v>249</v>
      </c>
      <c r="B57" s="11" t="s">
        <v>303</v>
      </c>
      <c r="C57" s="12"/>
      <c r="D57" s="12"/>
      <c r="E57" s="12" t="s">
        <v>304</v>
      </c>
      <c r="F57" s="13"/>
      <c r="G57" s="14" t="s">
        <v>56</v>
      </c>
      <c r="H57" s="11" t="s">
        <v>34</v>
      </c>
      <c r="I57" s="15">
        <v>4</v>
      </c>
      <c r="J57" s="13">
        <v>46161</v>
      </c>
      <c r="K57" s="16" t="s">
        <v>305</v>
      </c>
      <c r="L57" s="17" t="s">
        <v>306</v>
      </c>
      <c r="M57" s="18">
        <v>2290.4699999999998</v>
      </c>
      <c r="N57" s="19">
        <f t="shared" si="0"/>
        <v>157.41915254237287</v>
      </c>
      <c r="O57" s="19">
        <f t="shared" si="1"/>
        <v>2133.0508474576268</v>
      </c>
      <c r="P57" s="19">
        <f>O57*20%</f>
        <v>426.61016949152537</v>
      </c>
      <c r="S57" s="19"/>
      <c r="U57" s="19"/>
    </row>
    <row r="58" spans="1:21" s="20" customFormat="1" x14ac:dyDescent="0.2">
      <c r="A58" s="20">
        <v>249</v>
      </c>
      <c r="B58" s="11" t="s">
        <v>307</v>
      </c>
      <c r="C58" s="12"/>
      <c r="D58" s="12"/>
      <c r="E58" s="12" t="s">
        <v>308</v>
      </c>
      <c r="F58" s="13">
        <v>30934</v>
      </c>
      <c r="G58" s="14" t="s">
        <v>309</v>
      </c>
      <c r="H58" s="11" t="s">
        <v>22</v>
      </c>
      <c r="I58" s="15">
        <v>4</v>
      </c>
      <c r="J58" s="13">
        <v>46162</v>
      </c>
      <c r="K58" s="16" t="s">
        <v>310</v>
      </c>
      <c r="L58" s="17" t="s">
        <v>311</v>
      </c>
      <c r="M58" s="18">
        <v>2301.54</v>
      </c>
      <c r="N58" s="19">
        <f t="shared" si="0"/>
        <v>158.17997019929223</v>
      </c>
      <c r="O58" s="19">
        <f t="shared" si="1"/>
        <v>2143.3600298007077</v>
      </c>
      <c r="P58" s="19">
        <f>O58*10%</f>
        <v>214.33600298007079</v>
      </c>
      <c r="S58" s="19"/>
      <c r="U58" s="19"/>
    </row>
    <row r="59" spans="1:21" s="20" customFormat="1" x14ac:dyDescent="0.2">
      <c r="A59" s="10">
        <v>7</v>
      </c>
      <c r="B59" s="11" t="s">
        <v>312</v>
      </c>
      <c r="C59" s="12"/>
      <c r="D59" s="12"/>
      <c r="E59" s="12" t="s">
        <v>308</v>
      </c>
      <c r="F59" s="13">
        <v>27918</v>
      </c>
      <c r="G59" s="14" t="s">
        <v>309</v>
      </c>
      <c r="H59" s="11" t="s">
        <v>28</v>
      </c>
      <c r="I59" s="15">
        <v>0</v>
      </c>
      <c r="J59" s="13">
        <v>46164</v>
      </c>
      <c r="K59" s="16" t="s">
        <v>313</v>
      </c>
      <c r="L59" s="17" t="s">
        <v>314</v>
      </c>
      <c r="M59" s="18">
        <v>1174.9000000000001</v>
      </c>
      <c r="N59" s="19">
        <f t="shared" si="0"/>
        <v>80.74838889923636</v>
      </c>
      <c r="O59" s="19">
        <f t="shared" si="1"/>
        <v>1094.1516111007636</v>
      </c>
      <c r="P59" s="19">
        <f>O59*15%</f>
        <v>164.12274166511455</v>
      </c>
      <c r="S59" s="19"/>
      <c r="U59" s="19"/>
    </row>
    <row r="60" spans="1:21" s="20" customFormat="1" x14ac:dyDescent="0.2">
      <c r="A60" s="10">
        <v>168</v>
      </c>
      <c r="B60" s="11" t="s">
        <v>315</v>
      </c>
      <c r="C60" s="12"/>
      <c r="D60" s="12"/>
      <c r="E60" s="12" t="s">
        <v>316</v>
      </c>
      <c r="F60" s="13">
        <v>27602</v>
      </c>
      <c r="G60" s="14" t="s">
        <v>56</v>
      </c>
      <c r="H60" s="11" t="s">
        <v>133</v>
      </c>
      <c r="I60" s="15">
        <v>0</v>
      </c>
      <c r="J60" s="13">
        <v>46168</v>
      </c>
      <c r="K60" s="16" t="s">
        <v>317</v>
      </c>
      <c r="L60" s="17" t="s">
        <v>311</v>
      </c>
      <c r="M60" s="18">
        <v>5896.72</v>
      </c>
      <c r="N60" s="19">
        <f t="shared" si="0"/>
        <v>405.26907804060346</v>
      </c>
      <c r="O60" s="19">
        <f t="shared" si="1"/>
        <v>5491.4509219593965</v>
      </c>
      <c r="P60" s="19">
        <f>O60*15%</f>
        <v>823.71763829390943</v>
      </c>
      <c r="S60" s="19"/>
      <c r="U60" s="19"/>
    </row>
    <row r="61" spans="1:21" s="20" customFormat="1" x14ac:dyDescent="0.2">
      <c r="A61" s="10">
        <v>8</v>
      </c>
      <c r="B61" s="11" t="s">
        <v>318</v>
      </c>
      <c r="C61" s="12"/>
      <c r="D61" s="12"/>
      <c r="E61" s="12" t="s">
        <v>319</v>
      </c>
      <c r="F61" s="13">
        <v>20080</v>
      </c>
      <c r="G61" s="14" t="s">
        <v>320</v>
      </c>
      <c r="H61" s="11" t="s">
        <v>133</v>
      </c>
      <c r="I61" s="15">
        <v>1</v>
      </c>
      <c r="J61" s="13">
        <v>46169</v>
      </c>
      <c r="K61" s="16" t="s">
        <v>321</v>
      </c>
      <c r="L61" s="17" t="s">
        <v>74</v>
      </c>
      <c r="M61" s="18">
        <v>1642.85</v>
      </c>
      <c r="N61" s="19">
        <f t="shared" si="0"/>
        <v>112.90960141553361</v>
      </c>
      <c r="O61" s="19">
        <f t="shared" si="1"/>
        <v>1529.9403985844663</v>
      </c>
      <c r="P61" s="19">
        <f>O61*15%</f>
        <v>229.49105978766994</v>
      </c>
      <c r="S61" s="19"/>
      <c r="U61" s="19"/>
    </row>
    <row r="62" spans="1:21" s="20" customFormat="1" x14ac:dyDescent="0.2">
      <c r="A62" s="10">
        <v>9</v>
      </c>
      <c r="B62" s="11" t="s">
        <v>322</v>
      </c>
      <c r="C62" s="12"/>
      <c r="D62" s="12"/>
      <c r="E62" s="12" t="s">
        <v>323</v>
      </c>
      <c r="F62" s="13">
        <v>29826</v>
      </c>
      <c r="G62" s="14" t="s">
        <v>324</v>
      </c>
      <c r="H62" s="11" t="s">
        <v>22</v>
      </c>
      <c r="I62" s="15">
        <v>0</v>
      </c>
      <c r="J62" s="13">
        <v>46170</v>
      </c>
      <c r="K62" s="16" t="s">
        <v>325</v>
      </c>
      <c r="L62" s="17" t="s">
        <v>326</v>
      </c>
      <c r="M62" s="18">
        <v>1638.97</v>
      </c>
      <c r="N62" s="19">
        <f t="shared" si="0"/>
        <v>112.64293723225927</v>
      </c>
      <c r="O62" s="19">
        <f t="shared" si="1"/>
        <v>1526.3270627677407</v>
      </c>
      <c r="P62" s="19">
        <f>O62*15%</f>
        <v>228.94905941516109</v>
      </c>
      <c r="S62" s="19"/>
      <c r="U62" s="19"/>
    </row>
    <row r="63" spans="1:21" s="20" customFormat="1" x14ac:dyDescent="0.2">
      <c r="A63" s="10">
        <v>10</v>
      </c>
      <c r="B63" s="11" t="s">
        <v>327</v>
      </c>
      <c r="C63" s="12"/>
      <c r="D63" s="12"/>
      <c r="E63" s="12" t="s">
        <v>328</v>
      </c>
      <c r="F63" s="13">
        <v>29059</v>
      </c>
      <c r="G63" s="14" t="s">
        <v>329</v>
      </c>
      <c r="H63" s="11" t="s">
        <v>204</v>
      </c>
      <c r="I63" s="15">
        <v>10</v>
      </c>
      <c r="J63" s="13">
        <v>46174</v>
      </c>
      <c r="K63" s="16" t="s">
        <v>330</v>
      </c>
      <c r="L63" s="17" t="s">
        <v>331</v>
      </c>
      <c r="M63" s="18">
        <v>290.74</v>
      </c>
      <c r="N63" s="19">
        <f t="shared" si="0"/>
        <v>19.981944496181782</v>
      </c>
      <c r="O63" s="19">
        <f t="shared" si="1"/>
        <v>270.75805550381818</v>
      </c>
      <c r="P63" s="19">
        <f>O63*30%</f>
        <v>81.227416651145447</v>
      </c>
      <c r="S63" s="19"/>
      <c r="U63" s="19"/>
    </row>
    <row r="64" spans="1:21" s="20" customFormat="1" x14ac:dyDescent="0.2">
      <c r="A64" s="10">
        <v>37</v>
      </c>
      <c r="B64" s="11" t="s">
        <v>332</v>
      </c>
      <c r="C64" s="12"/>
      <c r="D64" s="12"/>
      <c r="E64" s="12" t="s">
        <v>333</v>
      </c>
      <c r="F64" s="13">
        <v>27724</v>
      </c>
      <c r="G64" s="14" t="s">
        <v>334</v>
      </c>
      <c r="H64" s="11" t="s">
        <v>28</v>
      </c>
      <c r="I64" s="15">
        <v>0</v>
      </c>
      <c r="J64" s="13">
        <v>46175</v>
      </c>
      <c r="K64" s="16" t="s">
        <v>335</v>
      </c>
      <c r="L64" s="17" t="s">
        <v>336</v>
      </c>
      <c r="M64" s="18">
        <v>3072.7</v>
      </c>
      <c r="N64" s="19">
        <f t="shared" si="0"/>
        <v>211.18016390389269</v>
      </c>
      <c r="O64" s="19">
        <f t="shared" si="1"/>
        <v>2861.5198360961067</v>
      </c>
      <c r="P64" s="19">
        <f>O64*10%</f>
        <v>286.15198360961068</v>
      </c>
      <c r="S64" s="19"/>
      <c r="U64" s="19"/>
    </row>
    <row r="65" spans="1:21" s="20" customFormat="1" x14ac:dyDescent="0.2">
      <c r="A65" s="10">
        <v>13</v>
      </c>
      <c r="B65" s="11" t="s">
        <v>337</v>
      </c>
      <c r="C65" s="12"/>
      <c r="D65" s="12"/>
      <c r="E65" s="12" t="s">
        <v>338</v>
      </c>
      <c r="F65" s="13">
        <v>21123</v>
      </c>
      <c r="G65" s="14" t="s">
        <v>339</v>
      </c>
      <c r="H65" s="11" t="s">
        <v>46</v>
      </c>
      <c r="I65" s="15">
        <v>0</v>
      </c>
      <c r="J65" s="13">
        <v>46176</v>
      </c>
      <c r="K65" s="16" t="s">
        <v>340</v>
      </c>
      <c r="L65" s="17" t="s">
        <v>341</v>
      </c>
      <c r="M65" s="18">
        <v>2164.9499999999998</v>
      </c>
      <c r="N65" s="19">
        <f t="shared" si="0"/>
        <v>148.79242875768298</v>
      </c>
      <c r="O65" s="19">
        <f t="shared" si="1"/>
        <v>2016.1575712423166</v>
      </c>
      <c r="P65" s="19">
        <f>O65*25%</f>
        <v>504.03939281057916</v>
      </c>
      <c r="S65" s="19"/>
      <c r="U65" s="19"/>
    </row>
    <row r="66" spans="1:21" s="20" customFormat="1" x14ac:dyDescent="0.2">
      <c r="A66" s="10">
        <v>14</v>
      </c>
      <c r="B66" s="11" t="s">
        <v>342</v>
      </c>
      <c r="C66" s="12"/>
      <c r="D66" s="12"/>
      <c r="E66" s="12" t="s">
        <v>343</v>
      </c>
      <c r="F66" s="13">
        <v>31011</v>
      </c>
      <c r="G66" s="14" t="s">
        <v>344</v>
      </c>
      <c r="H66" s="11" t="s">
        <v>133</v>
      </c>
      <c r="I66" s="15">
        <v>1</v>
      </c>
      <c r="J66" s="13">
        <v>46177</v>
      </c>
      <c r="K66" s="16" t="s">
        <v>345</v>
      </c>
      <c r="L66" s="17" t="s">
        <v>74</v>
      </c>
      <c r="M66" s="18">
        <v>2319.4</v>
      </c>
      <c r="N66" s="19">
        <f t="shared" ref="N66:N129" si="2">O66*Q$1</f>
        <v>159.40745017694169</v>
      </c>
      <c r="O66" s="19">
        <f t="shared" ref="O66:O129" si="3">M66/(1+$Q$1)</f>
        <v>2159.9925498230582</v>
      </c>
      <c r="P66" s="19">
        <f>O66*15%</f>
        <v>323.99888247345871</v>
      </c>
      <c r="S66" s="19"/>
      <c r="U66" s="19"/>
    </row>
    <row r="67" spans="1:21" s="20" customFormat="1" x14ac:dyDescent="0.2">
      <c r="A67" s="10">
        <v>15</v>
      </c>
      <c r="B67" s="11" t="s">
        <v>346</v>
      </c>
      <c r="C67" s="12"/>
      <c r="D67" s="12"/>
      <c r="E67" s="12" t="s">
        <v>347</v>
      </c>
      <c r="F67" s="13">
        <v>23454</v>
      </c>
      <c r="G67" s="14" t="s">
        <v>348</v>
      </c>
      <c r="H67" s="11" t="s">
        <v>40</v>
      </c>
      <c r="I67" s="15">
        <v>1</v>
      </c>
      <c r="J67" s="13">
        <v>46178</v>
      </c>
      <c r="K67" s="16" t="s">
        <v>349</v>
      </c>
      <c r="L67" s="17" t="s">
        <v>74</v>
      </c>
      <c r="M67" s="18">
        <v>414.83</v>
      </c>
      <c r="N67" s="19">
        <f t="shared" si="2"/>
        <v>28.51038740920097</v>
      </c>
      <c r="O67" s="19">
        <f t="shared" si="3"/>
        <v>386.31961259079901</v>
      </c>
      <c r="P67" s="19">
        <f>O67*15%</f>
        <v>57.947941888619852</v>
      </c>
      <c r="S67" s="19"/>
      <c r="U67" s="19"/>
    </row>
    <row r="68" spans="1:21" s="20" customFormat="1" x14ac:dyDescent="0.2">
      <c r="A68" s="10">
        <v>21</v>
      </c>
      <c r="B68" s="11" t="s">
        <v>350</v>
      </c>
      <c r="C68" s="12"/>
      <c r="D68" s="12"/>
      <c r="E68" s="12" t="s">
        <v>219</v>
      </c>
      <c r="F68" s="13">
        <v>21994</v>
      </c>
      <c r="G68" s="14" t="s">
        <v>220</v>
      </c>
      <c r="H68" s="11" t="s">
        <v>28</v>
      </c>
      <c r="I68" s="15">
        <v>0</v>
      </c>
      <c r="J68" s="13">
        <v>46182</v>
      </c>
      <c r="K68" s="16" t="s">
        <v>351</v>
      </c>
      <c r="L68" s="17" t="s">
        <v>352</v>
      </c>
      <c r="M68" s="18">
        <v>3879.25</v>
      </c>
      <c r="N68" s="19">
        <f t="shared" si="2"/>
        <v>266.61263736263737</v>
      </c>
      <c r="O68" s="19">
        <f t="shared" si="3"/>
        <v>3612.6373626373625</v>
      </c>
      <c r="P68" s="19">
        <f>O68*20%</f>
        <v>722.52747252747258</v>
      </c>
      <c r="S68" s="19"/>
      <c r="U68" s="19"/>
    </row>
    <row r="69" spans="1:21" s="20" customFormat="1" x14ac:dyDescent="0.2">
      <c r="A69" s="10">
        <v>19</v>
      </c>
      <c r="B69" s="11" t="s">
        <v>353</v>
      </c>
      <c r="C69" s="12"/>
      <c r="D69" s="12"/>
      <c r="E69" s="12" t="s">
        <v>354</v>
      </c>
      <c r="F69" s="13">
        <v>25208</v>
      </c>
      <c r="G69" s="14" t="s">
        <v>355</v>
      </c>
      <c r="H69" s="11" t="s">
        <v>22</v>
      </c>
      <c r="I69" s="15">
        <v>0</v>
      </c>
      <c r="J69" s="13">
        <v>46182</v>
      </c>
      <c r="K69" s="16" t="s">
        <v>356</v>
      </c>
      <c r="L69" s="17" t="s">
        <v>357</v>
      </c>
      <c r="M69" s="18">
        <v>1847.86</v>
      </c>
      <c r="N69" s="19">
        <f t="shared" si="2"/>
        <v>126.99950456323336</v>
      </c>
      <c r="O69" s="19">
        <f t="shared" si="3"/>
        <v>1720.8604954367663</v>
      </c>
      <c r="P69" s="19">
        <f>O69*15%</f>
        <v>258.12907431551491</v>
      </c>
      <c r="S69" s="19"/>
      <c r="U69" s="19"/>
    </row>
    <row r="70" spans="1:21" s="20" customFormat="1" x14ac:dyDescent="0.2">
      <c r="A70" s="10">
        <v>20</v>
      </c>
      <c r="B70" s="11" t="s">
        <v>358</v>
      </c>
      <c r="C70" s="12"/>
      <c r="D70" s="12"/>
      <c r="E70" s="12">
        <v>42999207599</v>
      </c>
      <c r="F70" s="13">
        <v>21459</v>
      </c>
      <c r="G70" s="14" t="s">
        <v>167</v>
      </c>
      <c r="H70" s="11" t="s">
        <v>359</v>
      </c>
      <c r="I70" s="15">
        <v>0</v>
      </c>
      <c r="J70" s="13">
        <v>46182</v>
      </c>
      <c r="K70" s="16" t="s">
        <v>360</v>
      </c>
      <c r="L70" s="17" t="s">
        <v>361</v>
      </c>
      <c r="M70" s="18">
        <v>2909.07</v>
      </c>
      <c r="N70" s="19">
        <f t="shared" si="2"/>
        <v>199.93422052523746</v>
      </c>
      <c r="O70" s="19">
        <f t="shared" si="3"/>
        <v>2709.1357794747623</v>
      </c>
      <c r="P70" s="19">
        <f>O70*20%</f>
        <v>541.82715589495251</v>
      </c>
      <c r="S70" s="19"/>
      <c r="U70" s="19"/>
    </row>
    <row r="71" spans="1:21" s="20" customFormat="1" x14ac:dyDescent="0.2">
      <c r="A71" s="10">
        <v>17</v>
      </c>
      <c r="B71" s="11" t="s">
        <v>362</v>
      </c>
      <c r="C71" s="12"/>
      <c r="D71" s="12"/>
      <c r="E71" s="12" t="s">
        <v>363</v>
      </c>
      <c r="F71" s="13">
        <v>21280</v>
      </c>
      <c r="G71" s="14" t="s">
        <v>364</v>
      </c>
      <c r="H71" s="11" t="s">
        <v>34</v>
      </c>
      <c r="I71" s="15">
        <v>0</v>
      </c>
      <c r="J71" s="13">
        <v>46183</v>
      </c>
      <c r="K71" s="16" t="s">
        <v>194</v>
      </c>
      <c r="L71" s="17" t="s">
        <v>365</v>
      </c>
      <c r="M71" s="18">
        <v>2563.65</v>
      </c>
      <c r="N71" s="19">
        <f t="shared" si="2"/>
        <v>176.19423542559136</v>
      </c>
      <c r="O71" s="19">
        <f t="shared" si="3"/>
        <v>2387.4557645744085</v>
      </c>
      <c r="P71" s="19">
        <f>O71*15%</f>
        <v>358.11836468616127</v>
      </c>
      <c r="S71" s="19"/>
      <c r="U71" s="19"/>
    </row>
    <row r="72" spans="1:21" s="20" customFormat="1" x14ac:dyDescent="0.2">
      <c r="A72" s="20">
        <v>247</v>
      </c>
      <c r="B72" s="11" t="s">
        <v>366</v>
      </c>
      <c r="C72" s="12"/>
      <c r="D72" s="12"/>
      <c r="E72" s="12" t="s">
        <v>367</v>
      </c>
      <c r="F72" s="13">
        <v>30403</v>
      </c>
      <c r="G72" s="14" t="s">
        <v>368</v>
      </c>
      <c r="H72" s="11" t="s">
        <v>359</v>
      </c>
      <c r="I72" s="15">
        <v>0</v>
      </c>
      <c r="J72" s="13">
        <v>46186</v>
      </c>
      <c r="K72" s="16" t="s">
        <v>369</v>
      </c>
      <c r="L72" s="17" t="s">
        <v>370</v>
      </c>
      <c r="M72" s="18">
        <v>2416.38</v>
      </c>
      <c r="N72" s="19">
        <f t="shared" si="2"/>
        <v>166.07268020115478</v>
      </c>
      <c r="O72" s="19">
        <f t="shared" si="3"/>
        <v>2250.3073197988451</v>
      </c>
      <c r="P72" s="19">
        <f>O72*10%</f>
        <v>225.03073197988454</v>
      </c>
      <c r="S72" s="19"/>
      <c r="U72" s="19"/>
    </row>
    <row r="73" spans="1:21" s="20" customFormat="1" x14ac:dyDescent="0.2">
      <c r="A73" s="10">
        <v>22</v>
      </c>
      <c r="B73" s="11" t="s">
        <v>371</v>
      </c>
      <c r="C73" s="12"/>
      <c r="D73" s="12"/>
      <c r="E73" s="12" t="s">
        <v>372</v>
      </c>
      <c r="F73" s="13">
        <v>30709</v>
      </c>
      <c r="G73" s="14" t="s">
        <v>348</v>
      </c>
      <c r="H73" s="11" t="s">
        <v>40</v>
      </c>
      <c r="I73" s="15">
        <v>1</v>
      </c>
      <c r="J73" s="13">
        <v>46190</v>
      </c>
      <c r="K73" s="16" t="s">
        <v>373</v>
      </c>
      <c r="L73" s="17" t="s">
        <v>74</v>
      </c>
      <c r="M73" s="18">
        <v>659.59</v>
      </c>
      <c r="N73" s="19">
        <f t="shared" si="2"/>
        <v>45.3322238778171</v>
      </c>
      <c r="O73" s="19">
        <f t="shared" si="3"/>
        <v>614.25777612218292</v>
      </c>
      <c r="P73" s="19">
        <f>O73*15%</f>
        <v>92.138666418327432</v>
      </c>
      <c r="S73" s="19"/>
      <c r="U73" s="19"/>
    </row>
    <row r="74" spans="1:21" s="20" customFormat="1" x14ac:dyDescent="0.2">
      <c r="A74" s="20">
        <v>247</v>
      </c>
      <c r="B74" s="11" t="s">
        <v>374</v>
      </c>
      <c r="C74" s="12"/>
      <c r="D74" s="12"/>
      <c r="E74" s="12" t="s">
        <v>375</v>
      </c>
      <c r="F74" s="13">
        <v>22315</v>
      </c>
      <c r="G74" s="14" t="s">
        <v>376</v>
      </c>
      <c r="H74" s="11" t="s">
        <v>40</v>
      </c>
      <c r="I74" s="15">
        <v>0</v>
      </c>
      <c r="J74" s="13">
        <v>46190</v>
      </c>
      <c r="K74" s="16" t="s">
        <v>377</v>
      </c>
      <c r="L74" s="17" t="s">
        <v>378</v>
      </c>
      <c r="M74" s="18">
        <v>1887.98</v>
      </c>
      <c r="N74" s="19">
        <f t="shared" si="2"/>
        <v>129.75686720059602</v>
      </c>
      <c r="O74" s="19">
        <f t="shared" si="3"/>
        <v>1758.2231327994039</v>
      </c>
      <c r="P74" s="19">
        <f>O74*10%</f>
        <v>175.8223132799404</v>
      </c>
      <c r="S74" s="19"/>
      <c r="U74" s="19"/>
    </row>
    <row r="75" spans="1:21" s="20" customFormat="1" x14ac:dyDescent="0.2">
      <c r="A75" s="10">
        <v>25</v>
      </c>
      <c r="B75" s="11" t="s">
        <v>379</v>
      </c>
      <c r="C75" s="12"/>
      <c r="D75" s="12"/>
      <c r="E75" s="12" t="s">
        <v>192</v>
      </c>
      <c r="F75" s="13">
        <v>40461</v>
      </c>
      <c r="G75" s="14" t="s">
        <v>380</v>
      </c>
      <c r="H75" s="11" t="s">
        <v>40</v>
      </c>
      <c r="I75" s="15">
        <v>3</v>
      </c>
      <c r="J75" s="13">
        <v>46192</v>
      </c>
      <c r="K75" s="16" t="s">
        <v>381</v>
      </c>
      <c r="L75" s="17" t="s">
        <v>53</v>
      </c>
      <c r="M75" s="18">
        <v>1061.8499999999999</v>
      </c>
      <c r="N75" s="19">
        <f t="shared" si="2"/>
        <v>72.9787018066679</v>
      </c>
      <c r="O75" s="19">
        <f t="shared" si="3"/>
        <v>988.87129819333188</v>
      </c>
      <c r="P75" s="19">
        <f>O75*10%</f>
        <v>98.887129819333197</v>
      </c>
      <c r="S75" s="19"/>
      <c r="U75" s="19"/>
    </row>
    <row r="76" spans="1:21" s="20" customFormat="1" x14ac:dyDescent="0.2">
      <c r="A76" s="10">
        <v>24</v>
      </c>
      <c r="B76" s="11" t="s">
        <v>382</v>
      </c>
      <c r="C76" s="12"/>
      <c r="D76" s="12"/>
      <c r="E76" s="12" t="s">
        <v>38</v>
      </c>
      <c r="F76" s="13">
        <v>21164</v>
      </c>
      <c r="G76" s="14" t="s">
        <v>39</v>
      </c>
      <c r="H76" s="11" t="s">
        <v>133</v>
      </c>
      <c r="I76" s="15">
        <v>1</v>
      </c>
      <c r="J76" s="13">
        <v>46193</v>
      </c>
      <c r="K76" s="16" t="s">
        <v>41</v>
      </c>
      <c r="L76" s="17" t="s">
        <v>74</v>
      </c>
      <c r="M76" s="18">
        <v>312.52</v>
      </c>
      <c r="N76" s="19">
        <f t="shared" si="2"/>
        <v>21.478837772397092</v>
      </c>
      <c r="O76" s="19">
        <f t="shared" si="3"/>
        <v>291.04116222760285</v>
      </c>
      <c r="P76" s="19">
        <f>O76*15%</f>
        <v>43.656174334140424</v>
      </c>
      <c r="S76" s="19"/>
      <c r="U76" s="19"/>
    </row>
    <row r="77" spans="1:21" s="20" customFormat="1" x14ac:dyDescent="0.2">
      <c r="A77" s="10">
        <v>26</v>
      </c>
      <c r="B77" s="11" t="s">
        <v>383</v>
      </c>
      <c r="C77" s="12" t="s">
        <v>384</v>
      </c>
      <c r="D77" s="12"/>
      <c r="E77" s="12" t="s">
        <v>385</v>
      </c>
      <c r="F77" s="13"/>
      <c r="G77" s="14" t="s">
        <v>386</v>
      </c>
      <c r="H77" s="11" t="s">
        <v>133</v>
      </c>
      <c r="I77" s="15">
        <v>3</v>
      </c>
      <c r="J77" s="13">
        <v>46193</v>
      </c>
      <c r="K77" s="16" t="s">
        <v>387</v>
      </c>
      <c r="L77" s="17" t="s">
        <v>53</v>
      </c>
      <c r="M77" s="18">
        <v>880.03</v>
      </c>
      <c r="N77" s="19">
        <f t="shared" si="2"/>
        <v>60.482598249208415</v>
      </c>
      <c r="O77" s="19">
        <f t="shared" si="3"/>
        <v>819.54740175079144</v>
      </c>
      <c r="P77" s="19">
        <f>O77*10%</f>
        <v>81.954740175079152</v>
      </c>
      <c r="S77" s="19"/>
      <c r="U77" s="19"/>
    </row>
    <row r="78" spans="1:21" s="20" customFormat="1" x14ac:dyDescent="0.2">
      <c r="A78" s="10">
        <v>27</v>
      </c>
      <c r="B78" s="11" t="s">
        <v>388</v>
      </c>
      <c r="C78" s="12" t="s">
        <v>389</v>
      </c>
      <c r="D78" s="12"/>
      <c r="E78" s="12" t="s">
        <v>390</v>
      </c>
      <c r="F78" s="13"/>
      <c r="G78" s="14" t="s">
        <v>391</v>
      </c>
      <c r="H78" s="11" t="s">
        <v>133</v>
      </c>
      <c r="I78" s="15">
        <v>3</v>
      </c>
      <c r="J78" s="13">
        <v>46193</v>
      </c>
      <c r="K78" s="16" t="s">
        <v>392</v>
      </c>
      <c r="L78" s="17" t="s">
        <v>53</v>
      </c>
      <c r="M78" s="18">
        <v>740.14</v>
      </c>
      <c r="N78" s="19">
        <f t="shared" si="2"/>
        <v>50.868254796051403</v>
      </c>
      <c r="O78" s="19">
        <f t="shared" si="3"/>
        <v>689.27174520394851</v>
      </c>
      <c r="P78" s="19">
        <f>O78*20%</f>
        <v>137.85434904078971</v>
      </c>
      <c r="S78" s="19"/>
      <c r="U78" s="19"/>
    </row>
    <row r="79" spans="1:21" s="20" customFormat="1" x14ac:dyDescent="0.2">
      <c r="A79" s="10">
        <v>28</v>
      </c>
      <c r="B79" s="11" t="s">
        <v>393</v>
      </c>
      <c r="C79" s="12"/>
      <c r="D79" s="12" t="s">
        <v>394</v>
      </c>
      <c r="E79" s="12" t="s">
        <v>395</v>
      </c>
      <c r="F79" s="13">
        <v>28481</v>
      </c>
      <c r="G79" s="14" t="s">
        <v>396</v>
      </c>
      <c r="H79" s="11" t="s">
        <v>40</v>
      </c>
      <c r="I79" s="15">
        <v>3</v>
      </c>
      <c r="J79" s="13">
        <v>46194</v>
      </c>
      <c r="K79" s="16" t="s">
        <v>397</v>
      </c>
      <c r="L79" s="17" t="s">
        <v>53</v>
      </c>
      <c r="M79" s="18">
        <v>854.58</v>
      </c>
      <c r="N79" s="19">
        <f t="shared" si="2"/>
        <v>58.733473644999073</v>
      </c>
      <c r="O79" s="19">
        <f t="shared" si="3"/>
        <v>795.84652635500095</v>
      </c>
      <c r="P79" s="19">
        <f>O79*20%</f>
        <v>159.16930527100021</v>
      </c>
      <c r="S79" s="19"/>
      <c r="U79" s="19"/>
    </row>
    <row r="80" spans="1:21" s="20" customFormat="1" x14ac:dyDescent="0.2">
      <c r="A80" s="10">
        <v>115</v>
      </c>
      <c r="B80" s="11" t="s">
        <v>398</v>
      </c>
      <c r="C80" s="12"/>
      <c r="D80" s="12"/>
      <c r="E80" s="12" t="s">
        <v>399</v>
      </c>
      <c r="F80" s="13">
        <v>23033</v>
      </c>
      <c r="G80" s="14" t="s">
        <v>232</v>
      </c>
      <c r="H80" s="11" t="s">
        <v>359</v>
      </c>
      <c r="I80" s="15">
        <v>0</v>
      </c>
      <c r="J80" s="13">
        <v>46196</v>
      </c>
      <c r="K80" s="16" t="s">
        <v>400</v>
      </c>
      <c r="L80" s="17" t="s">
        <v>401</v>
      </c>
      <c r="M80" s="18">
        <v>2353.4499999999998</v>
      </c>
      <c r="N80" s="19">
        <f t="shared" si="2"/>
        <v>161.74763456882101</v>
      </c>
      <c r="O80" s="19">
        <f t="shared" si="3"/>
        <v>2191.7023654311788</v>
      </c>
      <c r="P80" s="19">
        <f>O80*18%</f>
        <v>394.50642577761215</v>
      </c>
      <c r="S80" s="19"/>
      <c r="U80" s="19"/>
    </row>
    <row r="81" spans="1:21" s="20" customFormat="1" x14ac:dyDescent="0.2">
      <c r="A81" s="10">
        <v>232</v>
      </c>
      <c r="B81" s="11" t="s">
        <v>402</v>
      </c>
      <c r="C81" s="12"/>
      <c r="D81" s="12"/>
      <c r="E81" s="12" t="s">
        <v>403</v>
      </c>
      <c r="F81" s="13"/>
      <c r="G81" s="14" t="s">
        <v>404</v>
      </c>
      <c r="H81" s="11" t="s">
        <v>46</v>
      </c>
      <c r="I81" s="15">
        <v>0</v>
      </c>
      <c r="J81" s="13">
        <v>46196</v>
      </c>
      <c r="K81" s="16" t="s">
        <v>405</v>
      </c>
      <c r="L81" s="17" t="s">
        <v>406</v>
      </c>
      <c r="M81" s="18">
        <v>10892.79</v>
      </c>
      <c r="N81" s="19">
        <f t="shared" si="2"/>
        <v>748.63838889923647</v>
      </c>
      <c r="O81" s="19">
        <f t="shared" si="3"/>
        <v>10144.151611100764</v>
      </c>
      <c r="P81" s="19">
        <f>O81*15%</f>
        <v>1521.6227416651145</v>
      </c>
      <c r="S81" s="19"/>
      <c r="U81" s="19"/>
    </row>
    <row r="82" spans="1:21" s="20" customFormat="1" x14ac:dyDescent="0.2">
      <c r="A82" s="10">
        <v>29</v>
      </c>
      <c r="B82" s="11" t="s">
        <v>407</v>
      </c>
      <c r="C82" s="12"/>
      <c r="D82" s="12"/>
      <c r="E82" s="12" t="s">
        <v>408</v>
      </c>
      <c r="F82" s="13">
        <v>24173</v>
      </c>
      <c r="G82" s="14" t="s">
        <v>409</v>
      </c>
      <c r="H82" s="11" t="s">
        <v>22</v>
      </c>
      <c r="I82" s="15">
        <v>0</v>
      </c>
      <c r="J82" s="13">
        <v>46196</v>
      </c>
      <c r="K82" s="16" t="s">
        <v>410</v>
      </c>
      <c r="L82" s="17" t="s">
        <v>411</v>
      </c>
      <c r="M82" s="18">
        <v>2196.9299999999998</v>
      </c>
      <c r="N82" s="19">
        <f t="shared" si="2"/>
        <v>150.99034643322778</v>
      </c>
      <c r="O82" s="19">
        <f t="shared" si="3"/>
        <v>2045.939653566772</v>
      </c>
      <c r="P82" s="19">
        <f>O82*10%</f>
        <v>204.59396535667722</v>
      </c>
      <c r="S82" s="19"/>
      <c r="U82" s="19"/>
    </row>
    <row r="83" spans="1:21" s="20" customFormat="1" x14ac:dyDescent="0.2">
      <c r="A83" s="10">
        <v>30</v>
      </c>
      <c r="B83" s="11" t="s">
        <v>412</v>
      </c>
      <c r="C83" s="12" t="s">
        <v>413</v>
      </c>
      <c r="D83" s="12" t="s">
        <v>414</v>
      </c>
      <c r="E83" s="12" t="s">
        <v>415</v>
      </c>
      <c r="F83" s="13">
        <v>15514</v>
      </c>
      <c r="G83" s="14" t="s">
        <v>416</v>
      </c>
      <c r="H83" s="11" t="s">
        <v>22</v>
      </c>
      <c r="I83" s="15">
        <v>0</v>
      </c>
      <c r="J83" s="13">
        <v>46197</v>
      </c>
      <c r="K83" s="16" t="s">
        <v>417</v>
      </c>
      <c r="L83" s="17" t="s">
        <v>418</v>
      </c>
      <c r="M83" s="18">
        <v>2683.54</v>
      </c>
      <c r="N83" s="19">
        <f t="shared" si="2"/>
        <v>184.43402123300427</v>
      </c>
      <c r="O83" s="19">
        <f t="shared" si="3"/>
        <v>2499.1059787669956</v>
      </c>
      <c r="P83" s="19">
        <f>O83*10%</f>
        <v>249.91059787669957</v>
      </c>
      <c r="S83" s="19"/>
      <c r="U83" s="19"/>
    </row>
    <row r="84" spans="1:21" s="20" customFormat="1" x14ac:dyDescent="0.2">
      <c r="A84" s="10">
        <v>31</v>
      </c>
      <c r="B84" s="11" t="s">
        <v>419</v>
      </c>
      <c r="C84" s="12"/>
      <c r="D84" s="12" t="s">
        <v>420</v>
      </c>
      <c r="E84" s="12" t="s">
        <v>80</v>
      </c>
      <c r="F84" s="13"/>
      <c r="G84" s="14" t="s">
        <v>81</v>
      </c>
      <c r="H84" s="11" t="s">
        <v>133</v>
      </c>
      <c r="I84" s="15">
        <v>0</v>
      </c>
      <c r="J84" s="13">
        <v>46198</v>
      </c>
      <c r="K84" s="16" t="s">
        <v>421</v>
      </c>
      <c r="L84" s="17" t="s">
        <v>422</v>
      </c>
      <c r="M84" s="18">
        <v>8654.7199999999993</v>
      </c>
      <c r="N84" s="19">
        <f t="shared" si="2"/>
        <v>594.82057738871288</v>
      </c>
      <c r="O84" s="19">
        <f t="shared" si="3"/>
        <v>8059.8994226112854</v>
      </c>
      <c r="P84" s="19">
        <f>O84*15%</f>
        <v>1208.9849133916928</v>
      </c>
      <c r="S84" s="19"/>
      <c r="U84" s="19"/>
    </row>
    <row r="85" spans="1:21" s="20" customFormat="1" x14ac:dyDescent="0.2">
      <c r="A85" s="10">
        <v>32</v>
      </c>
      <c r="B85" s="11" t="s">
        <v>423</v>
      </c>
      <c r="C85" s="12"/>
      <c r="D85" s="12"/>
      <c r="E85" s="12" t="s">
        <v>66</v>
      </c>
      <c r="F85" s="13">
        <v>32386</v>
      </c>
      <c r="G85" s="14" t="s">
        <v>424</v>
      </c>
      <c r="H85" s="11" t="s">
        <v>46</v>
      </c>
      <c r="I85" s="15">
        <v>0</v>
      </c>
      <c r="J85" s="13">
        <v>46199</v>
      </c>
      <c r="K85" s="16" t="s">
        <v>425</v>
      </c>
      <c r="L85" s="17" t="s">
        <v>426</v>
      </c>
      <c r="M85" s="18">
        <v>2498.4</v>
      </c>
      <c r="N85" s="19">
        <f t="shared" si="2"/>
        <v>171.70974110635129</v>
      </c>
      <c r="O85" s="19">
        <f t="shared" si="3"/>
        <v>2326.6902588936487</v>
      </c>
      <c r="P85" s="19">
        <f>O85*20%</f>
        <v>465.33805177872978</v>
      </c>
      <c r="S85" s="19"/>
      <c r="U85" s="19"/>
    </row>
    <row r="86" spans="1:21" s="20" customFormat="1" x14ac:dyDescent="0.2">
      <c r="A86" s="20">
        <v>248</v>
      </c>
      <c r="B86" s="11" t="s">
        <v>427</v>
      </c>
      <c r="C86" s="12"/>
      <c r="D86" s="12"/>
      <c r="E86" s="12" t="s">
        <v>428</v>
      </c>
      <c r="F86" s="13">
        <v>30757</v>
      </c>
      <c r="G86" s="14" t="s">
        <v>429</v>
      </c>
      <c r="H86" s="11" t="s">
        <v>28</v>
      </c>
      <c r="I86" s="15">
        <v>0</v>
      </c>
      <c r="J86" s="13">
        <v>46199</v>
      </c>
      <c r="K86" s="16" t="s">
        <v>430</v>
      </c>
      <c r="L86" s="17" t="s">
        <v>431</v>
      </c>
      <c r="M86" s="18">
        <v>3238.59</v>
      </c>
      <c r="N86" s="19">
        <f t="shared" si="2"/>
        <v>222.58143229651702</v>
      </c>
      <c r="O86" s="19">
        <f t="shared" si="3"/>
        <v>3016.0085677034826</v>
      </c>
      <c r="P86" s="19">
        <f>O86*10%</f>
        <v>301.60085677034829</v>
      </c>
      <c r="S86" s="19"/>
      <c r="U86" s="19"/>
    </row>
    <row r="87" spans="1:21" s="20" customFormat="1" x14ac:dyDescent="0.2">
      <c r="A87" s="20">
        <v>250</v>
      </c>
      <c r="B87" s="11" t="s">
        <v>432</v>
      </c>
      <c r="C87" s="12"/>
      <c r="D87" s="12"/>
      <c r="E87" s="12" t="s">
        <v>433</v>
      </c>
      <c r="F87" s="13">
        <v>38069</v>
      </c>
      <c r="G87" s="14" t="s">
        <v>434</v>
      </c>
      <c r="H87" s="11" t="s">
        <v>297</v>
      </c>
      <c r="I87" s="15">
        <v>0</v>
      </c>
      <c r="J87" s="13">
        <v>46200</v>
      </c>
      <c r="K87" s="16" t="s">
        <v>435</v>
      </c>
      <c r="L87" s="17" t="s">
        <v>311</v>
      </c>
      <c r="M87" s="18">
        <v>3636.67</v>
      </c>
      <c r="N87" s="19">
        <f t="shared" si="2"/>
        <v>249.94062767740735</v>
      </c>
      <c r="O87" s="19">
        <f t="shared" si="3"/>
        <v>3386.7293723225926</v>
      </c>
      <c r="P87" s="19">
        <f>O87*10%</f>
        <v>338.6729372322593</v>
      </c>
      <c r="S87" s="19"/>
      <c r="U87" s="19"/>
    </row>
    <row r="88" spans="1:21" s="20" customFormat="1" x14ac:dyDescent="0.2">
      <c r="A88" s="10">
        <v>33</v>
      </c>
      <c r="B88" s="11" t="s">
        <v>436</v>
      </c>
      <c r="C88" s="12"/>
      <c r="D88" s="12"/>
      <c r="E88" s="12" t="s">
        <v>395</v>
      </c>
      <c r="F88" s="13">
        <v>28481</v>
      </c>
      <c r="G88" s="14" t="s">
        <v>396</v>
      </c>
      <c r="H88" s="11" t="s">
        <v>28</v>
      </c>
      <c r="I88" s="15">
        <v>0</v>
      </c>
      <c r="J88" s="13">
        <v>46201</v>
      </c>
      <c r="K88" s="16" t="s">
        <v>397</v>
      </c>
      <c r="L88" s="17" t="s">
        <v>437</v>
      </c>
      <c r="M88" s="18">
        <v>5342.07</v>
      </c>
      <c r="N88" s="19">
        <f t="shared" si="2"/>
        <v>367.14915813000556</v>
      </c>
      <c r="O88" s="19">
        <f t="shared" si="3"/>
        <v>4974.9208418699936</v>
      </c>
      <c r="P88" s="19">
        <f>O88*20%</f>
        <v>994.98416837399873</v>
      </c>
      <c r="S88" s="19"/>
      <c r="U88" s="19"/>
    </row>
    <row r="89" spans="1:21" s="20" customFormat="1" x14ac:dyDescent="0.2">
      <c r="A89" s="10">
        <v>34</v>
      </c>
      <c r="B89" s="11" t="s">
        <v>438</v>
      </c>
      <c r="C89" s="12"/>
      <c r="D89" s="12"/>
      <c r="E89" s="12">
        <v>41991953868</v>
      </c>
      <c r="F89" s="13">
        <v>34647</v>
      </c>
      <c r="G89" s="14" t="s">
        <v>439</v>
      </c>
      <c r="H89" s="11" t="s">
        <v>101</v>
      </c>
      <c r="I89" s="15">
        <v>0</v>
      </c>
      <c r="J89" s="13">
        <v>46201</v>
      </c>
      <c r="K89" s="16" t="s">
        <v>440</v>
      </c>
      <c r="L89" s="17" t="s">
        <v>441</v>
      </c>
      <c r="M89" s="18">
        <v>1424.7</v>
      </c>
      <c r="N89" s="19">
        <f t="shared" si="2"/>
        <v>97.91661389458001</v>
      </c>
      <c r="O89" s="19">
        <f t="shared" si="3"/>
        <v>1326.78338610542</v>
      </c>
      <c r="P89" s="19">
        <f>O89*15%</f>
        <v>199.01750791581301</v>
      </c>
      <c r="S89" s="19"/>
      <c r="U89" s="19"/>
    </row>
    <row r="90" spans="1:21" s="20" customFormat="1" x14ac:dyDescent="0.2">
      <c r="A90" s="10">
        <v>35</v>
      </c>
      <c r="B90" s="11" t="s">
        <v>442</v>
      </c>
      <c r="C90" s="12"/>
      <c r="D90" s="12" t="s">
        <v>443</v>
      </c>
      <c r="E90" s="12" t="s">
        <v>192</v>
      </c>
      <c r="F90" s="13">
        <v>33595</v>
      </c>
      <c r="G90" s="14" t="s">
        <v>380</v>
      </c>
      <c r="H90" s="11" t="s">
        <v>359</v>
      </c>
      <c r="I90" s="15">
        <v>0</v>
      </c>
      <c r="J90" s="13">
        <v>46203</v>
      </c>
      <c r="K90" s="16" t="s">
        <v>381</v>
      </c>
      <c r="L90" s="17" t="s">
        <v>444</v>
      </c>
      <c r="M90" s="18">
        <v>5406.2</v>
      </c>
      <c r="N90" s="19">
        <f t="shared" si="2"/>
        <v>371.55667722108399</v>
      </c>
      <c r="O90" s="19">
        <f t="shared" si="3"/>
        <v>5034.6433227789157</v>
      </c>
      <c r="P90" s="19">
        <f>O90*20%</f>
        <v>1006.9286645557831</v>
      </c>
      <c r="S90" s="19"/>
      <c r="U90" s="19"/>
    </row>
    <row r="91" spans="1:21" s="20" customFormat="1" x14ac:dyDescent="0.2">
      <c r="A91" s="20">
        <v>250</v>
      </c>
      <c r="B91" s="11" t="s">
        <v>445</v>
      </c>
      <c r="C91" s="12"/>
      <c r="D91" s="12"/>
      <c r="E91" s="12">
        <v>41999445999</v>
      </c>
      <c r="F91" s="13">
        <v>40461</v>
      </c>
      <c r="G91" s="14" t="s">
        <v>446</v>
      </c>
      <c r="H91" s="11" t="s">
        <v>40</v>
      </c>
      <c r="I91" s="15">
        <v>0</v>
      </c>
      <c r="J91" s="13">
        <v>46205</v>
      </c>
      <c r="K91" s="16" t="s">
        <v>447</v>
      </c>
      <c r="L91" s="17" t="s">
        <v>448</v>
      </c>
      <c r="M91" s="18">
        <v>5342.8</v>
      </c>
      <c r="N91" s="19">
        <f t="shared" si="2"/>
        <v>367.19932948407524</v>
      </c>
      <c r="O91" s="19">
        <f t="shared" si="3"/>
        <v>4975.6006705159243</v>
      </c>
      <c r="P91" s="19">
        <f>O91*13%</f>
        <v>646.82808716707018</v>
      </c>
      <c r="S91" s="19"/>
      <c r="U91" s="19"/>
    </row>
    <row r="92" spans="1:21" s="20" customFormat="1" x14ac:dyDescent="0.2">
      <c r="A92" s="10">
        <v>38</v>
      </c>
      <c r="B92" s="11" t="s">
        <v>449</v>
      </c>
      <c r="C92" s="12"/>
      <c r="D92" s="12"/>
      <c r="E92" s="12" t="s">
        <v>161</v>
      </c>
      <c r="F92" s="13">
        <v>33833</v>
      </c>
      <c r="G92" s="14" t="s">
        <v>162</v>
      </c>
      <c r="H92" s="11" t="s">
        <v>40</v>
      </c>
      <c r="I92" s="15">
        <v>1</v>
      </c>
      <c r="J92" s="13">
        <v>46208</v>
      </c>
      <c r="K92" s="16" t="s">
        <v>450</v>
      </c>
      <c r="L92" s="17" t="s">
        <v>74</v>
      </c>
      <c r="M92" s="18">
        <v>816.73</v>
      </c>
      <c r="N92" s="19">
        <f t="shared" si="2"/>
        <v>56.132123300428383</v>
      </c>
      <c r="O92" s="19">
        <f t="shared" si="3"/>
        <v>760.59787669957154</v>
      </c>
      <c r="P92" s="19">
        <f>O92*10%</f>
        <v>76.05978766995716</v>
      </c>
      <c r="S92" s="19"/>
      <c r="U92" s="19"/>
    </row>
    <row r="93" spans="1:21" s="20" customFormat="1" x14ac:dyDescent="0.2">
      <c r="A93" s="10">
        <v>41</v>
      </c>
      <c r="B93" s="11" t="s">
        <v>451</v>
      </c>
      <c r="C93" s="12"/>
      <c r="D93" s="12"/>
      <c r="E93" s="12" t="s">
        <v>452</v>
      </c>
      <c r="F93" s="13">
        <v>26394</v>
      </c>
      <c r="G93" s="14" t="s">
        <v>453</v>
      </c>
      <c r="H93" s="11" t="s">
        <v>188</v>
      </c>
      <c r="I93" s="15">
        <v>0</v>
      </c>
      <c r="J93" s="13">
        <v>46211</v>
      </c>
      <c r="K93" s="16" t="s">
        <v>454</v>
      </c>
      <c r="L93" s="17" t="s">
        <v>455</v>
      </c>
      <c r="M93" s="18">
        <v>3143.09</v>
      </c>
      <c r="N93" s="19">
        <f t="shared" si="2"/>
        <v>216.01791953808905</v>
      </c>
      <c r="O93" s="19">
        <f t="shared" si="3"/>
        <v>2927.0720804619109</v>
      </c>
      <c r="P93" s="19">
        <f>O93*20%</f>
        <v>585.41441609238223</v>
      </c>
      <c r="S93" s="19"/>
      <c r="U93" s="19"/>
    </row>
    <row r="94" spans="1:21" s="20" customFormat="1" x14ac:dyDescent="0.2">
      <c r="A94" s="20">
        <v>249</v>
      </c>
      <c r="B94" s="11" t="s">
        <v>456</v>
      </c>
      <c r="C94" s="12"/>
      <c r="D94" s="12"/>
      <c r="E94" s="12" t="s">
        <v>457</v>
      </c>
      <c r="F94" s="13">
        <v>35076</v>
      </c>
      <c r="G94" s="14" t="s">
        <v>458</v>
      </c>
      <c r="H94" s="11" t="s">
        <v>188</v>
      </c>
      <c r="I94" s="15">
        <v>0</v>
      </c>
      <c r="J94" s="13">
        <v>46211</v>
      </c>
      <c r="K94" s="16" t="s">
        <v>459</v>
      </c>
      <c r="L94" s="17" t="s">
        <v>460</v>
      </c>
      <c r="M94" s="18">
        <v>3007.77</v>
      </c>
      <c r="N94" s="19">
        <f t="shared" si="2"/>
        <v>206.71766250698454</v>
      </c>
      <c r="O94" s="19">
        <f t="shared" si="3"/>
        <v>2801.0523374930153</v>
      </c>
      <c r="P94" s="19">
        <f>O94*15%</f>
        <v>420.1578506239523</v>
      </c>
      <c r="S94" s="19"/>
      <c r="U94" s="19"/>
    </row>
    <row r="95" spans="1:21" s="20" customFormat="1" x14ac:dyDescent="0.2">
      <c r="A95" s="10">
        <v>42</v>
      </c>
      <c r="B95" s="11" t="s">
        <v>461</v>
      </c>
      <c r="C95" s="12"/>
      <c r="D95" s="12"/>
      <c r="E95" s="12" t="s">
        <v>462</v>
      </c>
      <c r="F95" s="13">
        <v>34647</v>
      </c>
      <c r="G95" s="14" t="s">
        <v>439</v>
      </c>
      <c r="H95" s="11" t="s">
        <v>46</v>
      </c>
      <c r="I95" s="15">
        <v>1</v>
      </c>
      <c r="J95" s="13">
        <v>46213</v>
      </c>
      <c r="K95" s="16" t="s">
        <v>440</v>
      </c>
      <c r="L95" s="17" t="s">
        <v>74</v>
      </c>
      <c r="M95" s="18">
        <v>747.72</v>
      </c>
      <c r="N95" s="19">
        <f t="shared" si="2"/>
        <v>51.38921214378842</v>
      </c>
      <c r="O95" s="19">
        <f t="shared" si="3"/>
        <v>696.3307878562116</v>
      </c>
      <c r="P95" s="19">
        <f>O95*15%</f>
        <v>104.44961817843173</v>
      </c>
      <c r="S95" s="19"/>
      <c r="U95" s="19"/>
    </row>
    <row r="96" spans="1:21" s="20" customFormat="1" x14ac:dyDescent="0.2">
      <c r="A96" s="10">
        <v>43</v>
      </c>
      <c r="B96" s="11" t="s">
        <v>463</v>
      </c>
      <c r="C96" s="12"/>
      <c r="D96" s="12"/>
      <c r="E96" s="12" t="s">
        <v>316</v>
      </c>
      <c r="F96" s="13">
        <v>40462</v>
      </c>
      <c r="G96" s="14" t="s">
        <v>56</v>
      </c>
      <c r="H96" s="11" t="s">
        <v>34</v>
      </c>
      <c r="I96" s="15">
        <v>4</v>
      </c>
      <c r="J96" s="13">
        <v>46215</v>
      </c>
      <c r="K96" s="16" t="s">
        <v>305</v>
      </c>
      <c r="L96" s="17" t="s">
        <v>464</v>
      </c>
      <c r="M96" s="18">
        <v>2499.71</v>
      </c>
      <c r="N96" s="19">
        <f t="shared" si="2"/>
        <v>171.79977463214752</v>
      </c>
      <c r="O96" s="19">
        <f t="shared" si="3"/>
        <v>2327.9102253678525</v>
      </c>
      <c r="P96" s="19">
        <f>O96*15%</f>
        <v>349.18653380517787</v>
      </c>
      <c r="S96" s="19"/>
      <c r="U96" s="19"/>
    </row>
    <row r="97" spans="1:21" s="20" customFormat="1" x14ac:dyDescent="0.2">
      <c r="A97" s="10">
        <v>45</v>
      </c>
      <c r="B97" s="11" t="s">
        <v>465</v>
      </c>
      <c r="C97" s="12"/>
      <c r="D97" s="12"/>
      <c r="E97" s="12" t="s">
        <v>466</v>
      </c>
      <c r="F97" s="13">
        <v>17874</v>
      </c>
      <c r="G97" s="14" t="s">
        <v>467</v>
      </c>
      <c r="H97" s="11" t="s">
        <v>46</v>
      </c>
      <c r="I97" s="15">
        <v>0</v>
      </c>
      <c r="J97" s="13">
        <v>46217</v>
      </c>
      <c r="K97" s="16" t="s">
        <v>468</v>
      </c>
      <c r="L97" s="17" t="s">
        <v>469</v>
      </c>
      <c r="M97" s="18">
        <v>3363.22</v>
      </c>
      <c r="N97" s="19">
        <f t="shared" si="2"/>
        <v>231.14698826597129</v>
      </c>
      <c r="O97" s="19">
        <f t="shared" si="3"/>
        <v>3132.0730117340281</v>
      </c>
      <c r="P97" s="19">
        <f>O97*20%</f>
        <v>626.41460234680562</v>
      </c>
      <c r="S97" s="19"/>
      <c r="U97" s="19"/>
    </row>
    <row r="98" spans="1:21" s="20" customFormat="1" x14ac:dyDescent="0.2">
      <c r="A98" s="10">
        <v>46</v>
      </c>
      <c r="B98" s="11" t="s">
        <v>470</v>
      </c>
      <c r="C98" s="12" t="s">
        <v>471</v>
      </c>
      <c r="D98" s="12" t="s">
        <v>472</v>
      </c>
      <c r="E98" s="12" t="s">
        <v>473</v>
      </c>
      <c r="F98" s="13">
        <v>29958</v>
      </c>
      <c r="G98" s="14" t="s">
        <v>474</v>
      </c>
      <c r="H98" s="11" t="s">
        <v>133</v>
      </c>
      <c r="I98" s="15">
        <v>0</v>
      </c>
      <c r="J98" s="13">
        <v>46218</v>
      </c>
      <c r="K98" s="16" t="s">
        <v>475</v>
      </c>
      <c r="L98" s="17" t="s">
        <v>476</v>
      </c>
      <c r="M98" s="18">
        <v>2555.31</v>
      </c>
      <c r="N98" s="19">
        <f t="shared" si="2"/>
        <v>175.62104488731606</v>
      </c>
      <c r="O98" s="19">
        <f t="shared" si="3"/>
        <v>2379.6889551126837</v>
      </c>
      <c r="P98" s="19">
        <f>O98*10%</f>
        <v>237.96889551126839</v>
      </c>
      <c r="S98" s="19"/>
      <c r="U98" s="19"/>
    </row>
    <row r="99" spans="1:21" s="20" customFormat="1" x14ac:dyDescent="0.2">
      <c r="A99" s="10">
        <v>47</v>
      </c>
      <c r="B99" s="11" t="s">
        <v>477</v>
      </c>
      <c r="C99" s="12"/>
      <c r="D99" s="12"/>
      <c r="E99" s="12" t="s">
        <v>478</v>
      </c>
      <c r="F99" s="13">
        <v>28877</v>
      </c>
      <c r="G99" s="14" t="s">
        <v>479</v>
      </c>
      <c r="H99" s="11" t="s">
        <v>359</v>
      </c>
      <c r="I99" s="15">
        <v>0</v>
      </c>
      <c r="J99" s="13">
        <v>46219</v>
      </c>
      <c r="K99" s="16" t="s">
        <v>480</v>
      </c>
      <c r="L99" s="17" t="s">
        <v>481</v>
      </c>
      <c r="M99" s="18">
        <v>4430.18</v>
      </c>
      <c r="N99" s="19">
        <f t="shared" si="2"/>
        <v>304.47688955112687</v>
      </c>
      <c r="O99" s="19">
        <f t="shared" si="3"/>
        <v>4125.7031104488733</v>
      </c>
      <c r="P99" s="19">
        <f>O99*15%</f>
        <v>618.85546656733095</v>
      </c>
      <c r="S99" s="19"/>
      <c r="U99" s="19"/>
    </row>
    <row r="100" spans="1:21" s="20" customFormat="1" x14ac:dyDescent="0.2">
      <c r="A100" s="20">
        <v>249</v>
      </c>
      <c r="B100" s="11" t="s">
        <v>482</v>
      </c>
      <c r="C100" s="12"/>
      <c r="D100" s="12"/>
      <c r="E100" s="12" t="s">
        <v>483</v>
      </c>
      <c r="F100" s="13">
        <v>25541</v>
      </c>
      <c r="G100" s="14" t="s">
        <v>484</v>
      </c>
      <c r="H100" s="11" t="s">
        <v>34</v>
      </c>
      <c r="I100" s="15">
        <v>0</v>
      </c>
      <c r="J100" s="13">
        <v>46221</v>
      </c>
      <c r="K100" s="16" t="s">
        <v>485</v>
      </c>
      <c r="L100" s="17" t="s">
        <v>486</v>
      </c>
      <c r="M100" s="18">
        <v>5548.24</v>
      </c>
      <c r="N100" s="19">
        <f t="shared" si="2"/>
        <v>381.3187856211585</v>
      </c>
      <c r="O100" s="19">
        <f t="shared" si="3"/>
        <v>5166.9212143788409</v>
      </c>
      <c r="P100" s="19">
        <f>O100*13%</f>
        <v>671.69975786924931</v>
      </c>
      <c r="S100" s="19"/>
      <c r="U100" s="19"/>
    </row>
    <row r="101" spans="1:21" s="20" customFormat="1" x14ac:dyDescent="0.2">
      <c r="A101" s="10">
        <v>48</v>
      </c>
      <c r="B101" s="11" t="s">
        <v>487</v>
      </c>
      <c r="C101" s="12" t="s">
        <v>488</v>
      </c>
      <c r="D101" s="12"/>
      <c r="E101" s="12" t="s">
        <v>489</v>
      </c>
      <c r="F101" s="13">
        <v>19969</v>
      </c>
      <c r="G101" s="14" t="s">
        <v>490</v>
      </c>
      <c r="H101" s="11" t="s">
        <v>133</v>
      </c>
      <c r="I101" s="15">
        <v>0</v>
      </c>
      <c r="J101" s="13">
        <v>46222</v>
      </c>
      <c r="K101" s="16" t="s">
        <v>491</v>
      </c>
      <c r="L101" s="17" t="s">
        <v>492</v>
      </c>
      <c r="M101" s="18">
        <v>5558.38</v>
      </c>
      <c r="N101" s="19">
        <f t="shared" si="2"/>
        <v>382.01568634755074</v>
      </c>
      <c r="O101" s="19">
        <f t="shared" si="3"/>
        <v>5176.3643136524488</v>
      </c>
      <c r="P101" s="19">
        <f>O101*15%</f>
        <v>776.4546470478673</v>
      </c>
      <c r="S101" s="19"/>
      <c r="U101" s="19"/>
    </row>
    <row r="102" spans="1:21" s="20" customFormat="1" x14ac:dyDescent="0.2">
      <c r="A102" s="10">
        <v>49</v>
      </c>
      <c r="B102" s="11" t="s">
        <v>493</v>
      </c>
      <c r="C102" s="12" t="s">
        <v>494</v>
      </c>
      <c r="D102" s="12"/>
      <c r="E102" s="12" t="s">
        <v>495</v>
      </c>
      <c r="F102" s="13">
        <v>29130</v>
      </c>
      <c r="G102" s="14" t="s">
        <v>496</v>
      </c>
      <c r="H102" s="11" t="s">
        <v>359</v>
      </c>
      <c r="I102" s="15">
        <v>0</v>
      </c>
      <c r="J102" s="13">
        <v>46224</v>
      </c>
      <c r="K102" s="16" t="s">
        <v>497</v>
      </c>
      <c r="L102" s="17" t="s">
        <v>498</v>
      </c>
      <c r="M102" s="18">
        <v>1951.34</v>
      </c>
      <c r="N102" s="19">
        <f t="shared" si="2"/>
        <v>134.11146582231328</v>
      </c>
      <c r="O102" s="19">
        <f t="shared" si="3"/>
        <v>1817.2285341776865</v>
      </c>
      <c r="P102" s="19">
        <f>O102*20%</f>
        <v>363.44570683553729</v>
      </c>
      <c r="S102" s="19"/>
      <c r="U102" s="19"/>
    </row>
    <row r="103" spans="1:21" s="20" customFormat="1" x14ac:dyDescent="0.2">
      <c r="A103" s="20">
        <v>248</v>
      </c>
      <c r="B103" s="11" t="s">
        <v>499</v>
      </c>
      <c r="C103" s="12"/>
      <c r="D103" s="12"/>
      <c r="E103" s="12" t="s">
        <v>500</v>
      </c>
      <c r="F103" s="13">
        <v>28876</v>
      </c>
      <c r="G103" s="14" t="s">
        <v>501</v>
      </c>
      <c r="H103" s="11" t="s">
        <v>297</v>
      </c>
      <c r="I103" s="15">
        <v>0</v>
      </c>
      <c r="J103" s="13">
        <v>46224</v>
      </c>
      <c r="K103" s="16" t="s">
        <v>502</v>
      </c>
      <c r="L103" s="17" t="s">
        <v>311</v>
      </c>
      <c r="M103" s="18">
        <v>3818.84</v>
      </c>
      <c r="N103" s="19">
        <f t="shared" si="2"/>
        <v>262.46078599366734</v>
      </c>
      <c r="O103" s="19">
        <f t="shared" si="3"/>
        <v>3556.3792140063324</v>
      </c>
      <c r="P103" s="19">
        <f>O103*15%</f>
        <v>533.45688210094988</v>
      </c>
      <c r="S103" s="19"/>
      <c r="U103" s="19"/>
    </row>
    <row r="104" spans="1:21" s="20" customFormat="1" x14ac:dyDescent="0.2">
      <c r="A104" s="10">
        <v>50</v>
      </c>
      <c r="B104" s="11" t="s">
        <v>503</v>
      </c>
      <c r="C104" s="12"/>
      <c r="D104" s="12"/>
      <c r="E104" s="12" t="s">
        <v>504</v>
      </c>
      <c r="F104" s="13">
        <v>27700</v>
      </c>
      <c r="G104" s="14" t="s">
        <v>505</v>
      </c>
      <c r="H104" s="11" t="s">
        <v>22</v>
      </c>
      <c r="I104" s="15">
        <v>4</v>
      </c>
      <c r="J104" s="13">
        <v>46226</v>
      </c>
      <c r="K104" s="16" t="s">
        <v>506</v>
      </c>
      <c r="L104" s="17" t="s">
        <v>507</v>
      </c>
      <c r="M104" s="18">
        <v>3854.47</v>
      </c>
      <c r="N104" s="19">
        <f t="shared" si="2"/>
        <v>264.90956043956044</v>
      </c>
      <c r="O104" s="19">
        <f t="shared" si="3"/>
        <v>3589.5604395604391</v>
      </c>
      <c r="P104" s="19">
        <f>O104*15%</f>
        <v>538.43406593406587</v>
      </c>
      <c r="S104" s="19"/>
      <c r="U104" s="19"/>
    </row>
    <row r="105" spans="1:21" s="20" customFormat="1" x14ac:dyDescent="0.2">
      <c r="A105" s="10">
        <v>52</v>
      </c>
      <c r="B105" s="11" t="s">
        <v>508</v>
      </c>
      <c r="C105" s="12"/>
      <c r="D105" s="12"/>
      <c r="E105" s="12" t="s">
        <v>509</v>
      </c>
      <c r="F105" s="13">
        <v>33050</v>
      </c>
      <c r="G105" s="14" t="s">
        <v>510</v>
      </c>
      <c r="H105" s="11" t="s">
        <v>28</v>
      </c>
      <c r="I105" s="15">
        <v>0</v>
      </c>
      <c r="J105" s="13">
        <v>46227</v>
      </c>
      <c r="K105" s="16" t="s">
        <v>511</v>
      </c>
      <c r="L105" s="17" t="s">
        <v>512</v>
      </c>
      <c r="M105" s="18">
        <v>2477.66</v>
      </c>
      <c r="N105" s="19">
        <f t="shared" si="2"/>
        <v>170.28432482771464</v>
      </c>
      <c r="O105" s="19">
        <f t="shared" si="3"/>
        <v>2307.3756751722849</v>
      </c>
      <c r="P105" s="19">
        <f>O105*20%</f>
        <v>461.47513503445703</v>
      </c>
      <c r="S105" s="19"/>
      <c r="U105" s="19"/>
    </row>
    <row r="106" spans="1:21" s="20" customFormat="1" x14ac:dyDescent="0.2">
      <c r="A106" s="10">
        <v>40</v>
      </c>
      <c r="B106" s="11" t="s">
        <v>513</v>
      </c>
      <c r="C106" s="12"/>
      <c r="D106" s="12"/>
      <c r="E106" s="12" t="s">
        <v>514</v>
      </c>
      <c r="F106" s="13">
        <v>34604</v>
      </c>
      <c r="G106" s="14" t="s">
        <v>515</v>
      </c>
      <c r="H106" s="11" t="s">
        <v>227</v>
      </c>
      <c r="I106" s="15">
        <v>0</v>
      </c>
      <c r="J106" s="13">
        <v>46228</v>
      </c>
      <c r="K106" s="16" t="s">
        <v>516</v>
      </c>
      <c r="L106" s="17" t="s">
        <v>517</v>
      </c>
      <c r="M106" s="18">
        <v>4437.8500000000004</v>
      </c>
      <c r="N106" s="19">
        <f t="shared" si="2"/>
        <v>305.00403240826972</v>
      </c>
      <c r="O106" s="19">
        <f t="shared" si="3"/>
        <v>4132.8459675917302</v>
      </c>
      <c r="P106" s="19">
        <f>O106*22%</f>
        <v>909.2261128701806</v>
      </c>
      <c r="S106" s="19"/>
      <c r="U106" s="19"/>
    </row>
    <row r="107" spans="1:21" s="20" customFormat="1" x14ac:dyDescent="0.2">
      <c r="A107" s="20">
        <v>250</v>
      </c>
      <c r="B107" s="11" t="s">
        <v>518</v>
      </c>
      <c r="C107" s="12"/>
      <c r="D107" s="12"/>
      <c r="E107" s="12" t="s">
        <v>462</v>
      </c>
      <c r="F107" s="13"/>
      <c r="G107" s="14" t="s">
        <v>439</v>
      </c>
      <c r="H107" s="11" t="s">
        <v>40</v>
      </c>
      <c r="I107" s="15">
        <v>3</v>
      </c>
      <c r="J107" s="13">
        <v>46228</v>
      </c>
      <c r="K107" s="16" t="s">
        <v>440</v>
      </c>
      <c r="L107" s="17" t="s">
        <v>53</v>
      </c>
      <c r="M107" s="18">
        <v>433.51</v>
      </c>
      <c r="N107" s="19">
        <f t="shared" si="2"/>
        <v>29.794224250325946</v>
      </c>
      <c r="O107" s="19">
        <f t="shared" si="3"/>
        <v>403.71577574967404</v>
      </c>
      <c r="P107" s="19">
        <f>O107*10%</f>
        <v>40.371577574967404</v>
      </c>
      <c r="S107" s="19"/>
      <c r="U107" s="19"/>
    </row>
    <row r="108" spans="1:21" s="20" customFormat="1" x14ac:dyDescent="0.2">
      <c r="A108" s="10">
        <v>54</v>
      </c>
      <c r="B108" s="11" t="s">
        <v>519</v>
      </c>
      <c r="C108" s="12"/>
      <c r="D108" s="12"/>
      <c r="E108" s="12" t="s">
        <v>110</v>
      </c>
      <c r="F108" s="13">
        <v>35761</v>
      </c>
      <c r="G108" s="14" t="s">
        <v>111</v>
      </c>
      <c r="H108" s="11" t="s">
        <v>133</v>
      </c>
      <c r="I108" s="15">
        <v>0</v>
      </c>
      <c r="J108" s="13">
        <v>46231</v>
      </c>
      <c r="K108" s="16" t="s">
        <v>112</v>
      </c>
      <c r="L108" s="17" t="s">
        <v>520</v>
      </c>
      <c r="M108" s="18">
        <v>9824.3700000000008</v>
      </c>
      <c r="N108" s="19">
        <f t="shared" si="2"/>
        <v>675.20814490594159</v>
      </c>
      <c r="O108" s="19">
        <f t="shared" si="3"/>
        <v>9149.1618550940584</v>
      </c>
      <c r="P108" s="19">
        <f>O108*20%</f>
        <v>1829.8323710188117</v>
      </c>
      <c r="S108" s="19"/>
      <c r="U108" s="19"/>
    </row>
    <row r="109" spans="1:21" s="20" customFormat="1" x14ac:dyDescent="0.2">
      <c r="A109" s="10">
        <v>53</v>
      </c>
      <c r="B109" s="11" t="s">
        <v>521</v>
      </c>
      <c r="C109" s="12"/>
      <c r="D109" s="12">
        <v>41995053990</v>
      </c>
      <c r="E109" s="12" t="s">
        <v>522</v>
      </c>
      <c r="F109" s="13">
        <v>17047</v>
      </c>
      <c r="G109" s="14" t="s">
        <v>523</v>
      </c>
      <c r="H109" s="11" t="s">
        <v>22</v>
      </c>
      <c r="I109" s="15">
        <v>0</v>
      </c>
      <c r="J109" s="13">
        <v>46231</v>
      </c>
      <c r="K109" s="16" t="s">
        <v>524</v>
      </c>
      <c r="L109" s="17" t="s">
        <v>525</v>
      </c>
      <c r="M109" s="18">
        <v>3113.63</v>
      </c>
      <c r="N109" s="19">
        <f t="shared" si="2"/>
        <v>213.99319612590801</v>
      </c>
      <c r="O109" s="19">
        <f t="shared" si="3"/>
        <v>2899.636803874092</v>
      </c>
      <c r="P109" s="19">
        <f>O109*15%</f>
        <v>434.94552058111378</v>
      </c>
      <c r="S109" s="19"/>
      <c r="U109" s="19"/>
    </row>
    <row r="110" spans="1:21" s="20" customFormat="1" x14ac:dyDescent="0.2">
      <c r="A110" s="10">
        <v>55</v>
      </c>
      <c r="B110" s="11" t="s">
        <v>526</v>
      </c>
      <c r="C110" s="12"/>
      <c r="D110" s="12"/>
      <c r="E110" s="12" t="s">
        <v>527</v>
      </c>
      <c r="F110" s="13">
        <v>35324</v>
      </c>
      <c r="G110" s="14" t="s">
        <v>528</v>
      </c>
      <c r="H110" s="11" t="s">
        <v>133</v>
      </c>
      <c r="I110" s="15">
        <v>0</v>
      </c>
      <c r="J110" s="13">
        <v>46232</v>
      </c>
      <c r="K110" s="16" t="s">
        <v>529</v>
      </c>
      <c r="L110" s="17" t="s">
        <v>530</v>
      </c>
      <c r="M110" s="18">
        <v>2440.25</v>
      </c>
      <c r="N110" s="19">
        <f t="shared" si="2"/>
        <v>167.71321475135034</v>
      </c>
      <c r="O110" s="19">
        <f t="shared" si="3"/>
        <v>2272.5367852486493</v>
      </c>
      <c r="P110" s="19">
        <f>O110*10%</f>
        <v>227.25367852486494</v>
      </c>
      <c r="S110" s="19"/>
      <c r="U110" s="19"/>
    </row>
    <row r="111" spans="1:21" s="20" customFormat="1" x14ac:dyDescent="0.2">
      <c r="A111" s="20">
        <v>251</v>
      </c>
      <c r="B111" s="11" t="s">
        <v>531</v>
      </c>
      <c r="C111" s="12"/>
      <c r="D111" s="12"/>
      <c r="E111" s="12" t="s">
        <v>532</v>
      </c>
      <c r="F111" s="13">
        <v>35152</v>
      </c>
      <c r="G111" s="14" t="s">
        <v>533</v>
      </c>
      <c r="H111" s="11" t="s">
        <v>28</v>
      </c>
      <c r="I111" s="15">
        <v>0</v>
      </c>
      <c r="J111" s="13">
        <v>46233</v>
      </c>
      <c r="K111" s="16" t="s">
        <v>534</v>
      </c>
      <c r="L111" s="17" t="s">
        <v>535</v>
      </c>
      <c r="M111" s="18">
        <v>3665.96</v>
      </c>
      <c r="N111" s="19">
        <f t="shared" si="2"/>
        <v>251.95366734959953</v>
      </c>
      <c r="O111" s="19">
        <f t="shared" si="3"/>
        <v>3414.0063326504001</v>
      </c>
      <c r="P111" s="19">
        <f>O111*10%</f>
        <v>341.40063326504003</v>
      </c>
      <c r="S111" s="19"/>
      <c r="U111" s="19"/>
    </row>
    <row r="112" spans="1:21" s="20" customFormat="1" x14ac:dyDescent="0.2">
      <c r="A112" s="10">
        <v>56</v>
      </c>
      <c r="B112" s="11" t="s">
        <v>536</v>
      </c>
      <c r="C112" s="12" t="s">
        <v>537</v>
      </c>
      <c r="D112" s="12"/>
      <c r="E112" s="12" t="s">
        <v>538</v>
      </c>
      <c r="F112" s="13">
        <v>19274</v>
      </c>
      <c r="G112" s="14" t="s">
        <v>539</v>
      </c>
      <c r="H112" s="11" t="s">
        <v>28</v>
      </c>
      <c r="I112" s="15">
        <v>0</v>
      </c>
      <c r="J112" s="13">
        <v>46237</v>
      </c>
      <c r="K112" s="16" t="s">
        <v>540</v>
      </c>
      <c r="L112" s="17" t="s">
        <v>541</v>
      </c>
      <c r="M112" s="18">
        <v>3713.54</v>
      </c>
      <c r="N112" s="19">
        <f t="shared" si="2"/>
        <v>255.22373998882472</v>
      </c>
      <c r="O112" s="19">
        <f t="shared" si="3"/>
        <v>3458.316260011175</v>
      </c>
      <c r="P112" s="19">
        <f>O112*20%</f>
        <v>691.66325200223503</v>
      </c>
      <c r="S112" s="19"/>
      <c r="U112" s="19"/>
    </row>
    <row r="113" spans="1:21" s="20" customFormat="1" x14ac:dyDescent="0.2">
      <c r="A113" s="10">
        <v>57</v>
      </c>
      <c r="B113" s="11" t="s">
        <v>542</v>
      </c>
      <c r="C113" s="12"/>
      <c r="D113" s="12"/>
      <c r="E113" s="12" t="s">
        <v>543</v>
      </c>
      <c r="F113" s="13">
        <v>29372</v>
      </c>
      <c r="G113" s="14" t="s">
        <v>544</v>
      </c>
      <c r="H113" s="11" t="s">
        <v>40</v>
      </c>
      <c r="I113" s="15">
        <v>1</v>
      </c>
      <c r="J113" s="13">
        <v>46238</v>
      </c>
      <c r="K113" s="16" t="s">
        <v>545</v>
      </c>
      <c r="L113" s="17" t="s">
        <v>74</v>
      </c>
      <c r="M113" s="18">
        <v>1091.49</v>
      </c>
      <c r="N113" s="19">
        <f t="shared" si="2"/>
        <v>75.015796237660638</v>
      </c>
      <c r="O113" s="19">
        <f t="shared" si="3"/>
        <v>1016.4742037623392</v>
      </c>
      <c r="P113" s="19">
        <f>O113*20%</f>
        <v>203.29484075246785</v>
      </c>
      <c r="S113" s="19"/>
      <c r="U113" s="19"/>
    </row>
    <row r="114" spans="1:21" s="20" customFormat="1" x14ac:dyDescent="0.2">
      <c r="A114" s="10">
        <v>58</v>
      </c>
      <c r="B114" s="11" t="s">
        <v>546</v>
      </c>
      <c r="C114" s="12"/>
      <c r="D114" s="12" t="s">
        <v>547</v>
      </c>
      <c r="E114" s="12" t="s">
        <v>548</v>
      </c>
      <c r="F114" s="13">
        <v>40461</v>
      </c>
      <c r="G114" s="14" t="s">
        <v>549</v>
      </c>
      <c r="H114" s="11" t="s">
        <v>40</v>
      </c>
      <c r="I114" s="15">
        <v>3</v>
      </c>
      <c r="J114" s="13">
        <v>46239</v>
      </c>
      <c r="K114" s="16" t="s">
        <v>550</v>
      </c>
      <c r="L114" s="17" t="s">
        <v>53</v>
      </c>
      <c r="M114" s="18">
        <v>2979.31</v>
      </c>
      <c r="N114" s="19">
        <f t="shared" si="2"/>
        <v>204.7616669770907</v>
      </c>
      <c r="O114" s="19">
        <f t="shared" si="3"/>
        <v>2774.548333022909</v>
      </c>
      <c r="P114" s="19">
        <f>O114*20%</f>
        <v>554.90966660458184</v>
      </c>
      <c r="S114" s="19"/>
      <c r="U114" s="19"/>
    </row>
    <row r="115" spans="1:21" s="20" customFormat="1" x14ac:dyDescent="0.2">
      <c r="A115" s="10">
        <v>59</v>
      </c>
      <c r="B115" s="11" t="s">
        <v>551</v>
      </c>
      <c r="C115" s="12" t="s">
        <v>552</v>
      </c>
      <c r="D115" s="12"/>
      <c r="E115" s="12" t="s">
        <v>553</v>
      </c>
      <c r="F115" s="13">
        <v>25642</v>
      </c>
      <c r="G115" s="14" t="s">
        <v>554</v>
      </c>
      <c r="H115" s="11" t="s">
        <v>133</v>
      </c>
      <c r="I115" s="15">
        <v>0</v>
      </c>
      <c r="J115" s="13">
        <v>46239</v>
      </c>
      <c r="K115" s="16" t="s">
        <v>555</v>
      </c>
      <c r="L115" s="17" t="s">
        <v>556</v>
      </c>
      <c r="M115" s="18">
        <v>2634.51</v>
      </c>
      <c r="N115" s="19">
        <f t="shared" si="2"/>
        <v>181.06429316446267</v>
      </c>
      <c r="O115" s="19">
        <f t="shared" si="3"/>
        <v>2453.4457068355373</v>
      </c>
      <c r="P115" s="19">
        <f>O115*20%</f>
        <v>490.68914136710748</v>
      </c>
      <c r="S115" s="19"/>
      <c r="U115" s="19"/>
    </row>
    <row r="116" spans="1:21" s="20" customFormat="1" x14ac:dyDescent="0.2">
      <c r="A116" s="20">
        <v>253</v>
      </c>
      <c r="B116" s="11" t="s">
        <v>557</v>
      </c>
      <c r="C116" s="12"/>
      <c r="D116" s="12"/>
      <c r="E116" s="12" t="s">
        <v>558</v>
      </c>
      <c r="F116" s="13">
        <v>29546</v>
      </c>
      <c r="G116" s="14" t="s">
        <v>177</v>
      </c>
      <c r="H116" s="11" t="s">
        <v>34</v>
      </c>
      <c r="I116" s="15">
        <v>0</v>
      </c>
      <c r="J116" s="13">
        <v>46239</v>
      </c>
      <c r="K116" s="16" t="s">
        <v>178</v>
      </c>
      <c r="L116" s="17" t="s">
        <v>559</v>
      </c>
      <c r="M116" s="18">
        <v>3850.03</v>
      </c>
      <c r="N116" s="19">
        <f t="shared" si="2"/>
        <v>264.60440864220527</v>
      </c>
      <c r="O116" s="19">
        <f t="shared" si="3"/>
        <v>3585.4255913577945</v>
      </c>
      <c r="P116" s="19">
        <f>O116*15%</f>
        <v>537.81383870366915</v>
      </c>
      <c r="S116" s="19"/>
      <c r="U116" s="19"/>
    </row>
    <row r="117" spans="1:21" s="20" customFormat="1" x14ac:dyDescent="0.2">
      <c r="A117" s="10">
        <v>61</v>
      </c>
      <c r="B117" s="11" t="s">
        <v>560</v>
      </c>
      <c r="C117" s="12" t="s">
        <v>561</v>
      </c>
      <c r="D117" s="12"/>
      <c r="E117" s="12" t="s">
        <v>558</v>
      </c>
      <c r="F117" s="13">
        <v>29916</v>
      </c>
      <c r="G117" s="14" t="s">
        <v>177</v>
      </c>
      <c r="H117" s="11" t="s">
        <v>359</v>
      </c>
      <c r="I117" s="15">
        <v>0</v>
      </c>
      <c r="J117" s="13">
        <v>46240</v>
      </c>
      <c r="K117" s="16" t="s">
        <v>562</v>
      </c>
      <c r="L117" s="17" t="s">
        <v>563</v>
      </c>
      <c r="M117" s="18">
        <v>2776.58</v>
      </c>
      <c r="N117" s="19">
        <f t="shared" si="2"/>
        <v>190.82846340100576</v>
      </c>
      <c r="O117" s="19">
        <f t="shared" si="3"/>
        <v>2585.7515365989939</v>
      </c>
      <c r="P117" s="19">
        <f>O117*20%</f>
        <v>517.1503073197988</v>
      </c>
      <c r="S117" s="19"/>
      <c r="U117" s="19"/>
    </row>
    <row r="118" spans="1:21" s="20" customFormat="1" x14ac:dyDescent="0.2">
      <c r="A118" s="10">
        <v>62</v>
      </c>
      <c r="B118" s="11" t="s">
        <v>564</v>
      </c>
      <c r="C118" s="12"/>
      <c r="D118" s="12"/>
      <c r="E118" s="12" t="s">
        <v>316</v>
      </c>
      <c r="F118" s="13">
        <v>27602</v>
      </c>
      <c r="G118" s="14" t="s">
        <v>56</v>
      </c>
      <c r="H118" s="11" t="s">
        <v>22</v>
      </c>
      <c r="I118" s="15">
        <v>0</v>
      </c>
      <c r="J118" s="13">
        <v>46240</v>
      </c>
      <c r="K118" s="16" t="s">
        <v>317</v>
      </c>
      <c r="L118" s="17" t="s">
        <v>565</v>
      </c>
      <c r="M118" s="18">
        <v>8039.99</v>
      </c>
      <c r="N118" s="19">
        <f t="shared" si="2"/>
        <v>552.57148631029986</v>
      </c>
      <c r="O118" s="19">
        <f t="shared" si="3"/>
        <v>7487.4185136896995</v>
      </c>
      <c r="P118" s="19">
        <f>O118*10%</f>
        <v>748.74185136896995</v>
      </c>
      <c r="S118" s="19"/>
      <c r="U118" s="19"/>
    </row>
    <row r="119" spans="1:21" s="20" customFormat="1" x14ac:dyDescent="0.2">
      <c r="A119" s="10">
        <v>63</v>
      </c>
      <c r="B119" s="11" t="s">
        <v>566</v>
      </c>
      <c r="C119" s="12"/>
      <c r="D119" s="12"/>
      <c r="E119" s="12" t="s">
        <v>567</v>
      </c>
      <c r="F119" s="13">
        <v>23062</v>
      </c>
      <c r="G119" s="14" t="s">
        <v>568</v>
      </c>
      <c r="H119" s="11" t="s">
        <v>40</v>
      </c>
      <c r="I119" s="15">
        <v>1</v>
      </c>
      <c r="J119" s="13">
        <v>46241</v>
      </c>
      <c r="K119" s="16" t="s">
        <v>569</v>
      </c>
      <c r="L119" s="17" t="s">
        <v>74</v>
      </c>
      <c r="M119" s="18">
        <v>943.46</v>
      </c>
      <c r="N119" s="19">
        <f t="shared" si="2"/>
        <v>64.842007822685787</v>
      </c>
      <c r="O119" s="19">
        <f t="shared" si="3"/>
        <v>878.61799217731414</v>
      </c>
      <c r="P119" s="19">
        <f>O119*20%</f>
        <v>175.72359843546283</v>
      </c>
      <c r="S119" s="19"/>
      <c r="U119" s="19"/>
    </row>
    <row r="120" spans="1:21" s="20" customFormat="1" x14ac:dyDescent="0.2">
      <c r="A120" s="10">
        <v>64</v>
      </c>
      <c r="B120" s="11" t="s">
        <v>570</v>
      </c>
      <c r="C120" s="12"/>
      <c r="D120" s="12"/>
      <c r="E120" s="12" t="s">
        <v>571</v>
      </c>
      <c r="F120" s="13">
        <v>27761</v>
      </c>
      <c r="G120" s="14" t="s">
        <v>167</v>
      </c>
      <c r="H120" s="11" t="s">
        <v>297</v>
      </c>
      <c r="I120" s="15">
        <v>0</v>
      </c>
      <c r="J120" s="13">
        <v>46241</v>
      </c>
      <c r="K120" s="16" t="s">
        <v>572</v>
      </c>
      <c r="L120" s="17" t="s">
        <v>573</v>
      </c>
      <c r="M120" s="18">
        <v>2376.34</v>
      </c>
      <c r="N120" s="19">
        <f t="shared" si="2"/>
        <v>163.32081579437511</v>
      </c>
      <c r="O120" s="19">
        <f t="shared" si="3"/>
        <v>2213.0191842056247</v>
      </c>
      <c r="P120" s="19">
        <f>O120*25%</f>
        <v>553.25479605140617</v>
      </c>
      <c r="S120" s="19"/>
      <c r="U120" s="19"/>
    </row>
    <row r="121" spans="1:21" s="20" customFormat="1" x14ac:dyDescent="0.2">
      <c r="A121" s="10">
        <v>65</v>
      </c>
      <c r="B121" s="11" t="s">
        <v>574</v>
      </c>
      <c r="C121" s="12"/>
      <c r="D121" s="12"/>
      <c r="E121" s="12" t="s">
        <v>240</v>
      </c>
      <c r="F121" s="13">
        <v>23244</v>
      </c>
      <c r="G121" s="14" t="s">
        <v>575</v>
      </c>
      <c r="H121" s="11" t="s">
        <v>46</v>
      </c>
      <c r="I121" s="15">
        <v>0</v>
      </c>
      <c r="J121" s="13">
        <v>46241</v>
      </c>
      <c r="K121" s="16" t="s">
        <v>576</v>
      </c>
      <c r="L121" s="17" t="s">
        <v>577</v>
      </c>
      <c r="M121" s="18">
        <v>2276.46</v>
      </c>
      <c r="N121" s="19">
        <f t="shared" si="2"/>
        <v>156.45627491152914</v>
      </c>
      <c r="O121" s="19">
        <f t="shared" si="3"/>
        <v>2120.0037250884707</v>
      </c>
      <c r="P121" s="19">
        <f>O121*25%</f>
        <v>530.00093127211767</v>
      </c>
      <c r="S121" s="19"/>
      <c r="U121" s="19"/>
    </row>
    <row r="122" spans="1:21" s="20" customFormat="1" x14ac:dyDescent="0.2">
      <c r="A122" s="10">
        <v>67</v>
      </c>
      <c r="B122" s="11" t="s">
        <v>578</v>
      </c>
      <c r="C122" s="12"/>
      <c r="D122" s="12" t="s">
        <v>579</v>
      </c>
      <c r="E122" s="12" t="s">
        <v>580</v>
      </c>
      <c r="F122" s="13">
        <v>29550</v>
      </c>
      <c r="G122" s="14" t="s">
        <v>581</v>
      </c>
      <c r="H122" s="11" t="s">
        <v>297</v>
      </c>
      <c r="I122" s="15">
        <v>0</v>
      </c>
      <c r="J122" s="13">
        <v>46244</v>
      </c>
      <c r="K122" s="16" t="s">
        <v>582</v>
      </c>
      <c r="L122" s="17" t="s">
        <v>583</v>
      </c>
      <c r="M122" s="18">
        <v>1806.1</v>
      </c>
      <c r="N122" s="19">
        <f t="shared" si="2"/>
        <v>124.12942819891971</v>
      </c>
      <c r="O122" s="19">
        <f t="shared" si="3"/>
        <v>1681.97057180108</v>
      </c>
      <c r="P122" s="19">
        <f>O122*15%</f>
        <v>252.29558577016201</v>
      </c>
      <c r="S122" s="19"/>
      <c r="U122" s="19"/>
    </row>
    <row r="123" spans="1:21" s="20" customFormat="1" x14ac:dyDescent="0.2">
      <c r="A123" s="10">
        <v>66</v>
      </c>
      <c r="B123" s="11" t="s">
        <v>584</v>
      </c>
      <c r="C123" s="12"/>
      <c r="D123" s="12"/>
      <c r="E123" s="12" t="s">
        <v>585</v>
      </c>
      <c r="F123" s="13">
        <v>27121</v>
      </c>
      <c r="G123" s="14" t="s">
        <v>586</v>
      </c>
      <c r="H123" s="11" t="s">
        <v>188</v>
      </c>
      <c r="I123" s="15">
        <v>0</v>
      </c>
      <c r="J123" s="13">
        <v>46244</v>
      </c>
      <c r="K123" s="16" t="s">
        <v>587</v>
      </c>
      <c r="L123" s="17" t="s">
        <v>588</v>
      </c>
      <c r="M123" s="18">
        <v>2838.1</v>
      </c>
      <c r="N123" s="19">
        <f t="shared" si="2"/>
        <v>195.05660271931455</v>
      </c>
      <c r="O123" s="19">
        <f t="shared" si="3"/>
        <v>2643.043397280685</v>
      </c>
      <c r="P123" s="19">
        <f>O123*17%</f>
        <v>449.31737753771648</v>
      </c>
      <c r="S123" s="19"/>
      <c r="U123" s="19"/>
    </row>
    <row r="124" spans="1:21" s="20" customFormat="1" x14ac:dyDescent="0.2">
      <c r="A124" s="10">
        <v>68</v>
      </c>
      <c r="B124" s="11" t="s">
        <v>589</v>
      </c>
      <c r="C124" s="12"/>
      <c r="D124" s="12"/>
      <c r="E124" s="12" t="s">
        <v>590</v>
      </c>
      <c r="F124" s="13">
        <v>30748</v>
      </c>
      <c r="G124" s="14" t="s">
        <v>591</v>
      </c>
      <c r="H124" s="11" t="s">
        <v>28</v>
      </c>
      <c r="I124" s="15">
        <v>0</v>
      </c>
      <c r="J124" s="13">
        <v>46245</v>
      </c>
      <c r="K124" s="16" t="s">
        <v>592</v>
      </c>
      <c r="L124" s="17" t="s">
        <v>593</v>
      </c>
      <c r="M124" s="18">
        <v>1600.47</v>
      </c>
      <c r="N124" s="19">
        <f t="shared" si="2"/>
        <v>109.99691376420191</v>
      </c>
      <c r="O124" s="19">
        <f t="shared" si="3"/>
        <v>1490.4730862357981</v>
      </c>
      <c r="P124" s="19">
        <f>O124*10%</f>
        <v>149.04730862357982</v>
      </c>
      <c r="S124" s="19"/>
      <c r="U124" s="19"/>
    </row>
    <row r="125" spans="1:21" s="20" customFormat="1" x14ac:dyDescent="0.2">
      <c r="A125" s="20">
        <v>254</v>
      </c>
      <c r="B125" s="11" t="s">
        <v>594</v>
      </c>
      <c r="C125" s="12"/>
      <c r="D125" s="12"/>
      <c r="E125" s="12" t="s">
        <v>595</v>
      </c>
      <c r="F125" s="13">
        <v>37184</v>
      </c>
      <c r="G125" s="14" t="s">
        <v>596</v>
      </c>
      <c r="H125" s="11" t="s">
        <v>40</v>
      </c>
      <c r="I125" s="15">
        <v>1</v>
      </c>
      <c r="J125" s="13">
        <v>46246</v>
      </c>
      <c r="K125" s="16" t="s">
        <v>597</v>
      </c>
      <c r="L125" s="17" t="s">
        <v>74</v>
      </c>
      <c r="M125" s="18">
        <v>637.51</v>
      </c>
      <c r="N125" s="19">
        <f t="shared" si="2"/>
        <v>43.814712236915632</v>
      </c>
      <c r="O125" s="19">
        <f t="shared" si="3"/>
        <v>593.69528776308437</v>
      </c>
      <c r="P125" s="19">
        <f>O125*1%</f>
        <v>5.9369528776308433</v>
      </c>
      <c r="S125" s="19"/>
      <c r="U125" s="19"/>
    </row>
    <row r="126" spans="1:21" s="20" customFormat="1" x14ac:dyDescent="0.2">
      <c r="A126" s="20">
        <v>255</v>
      </c>
      <c r="B126" s="11" t="s">
        <v>598</v>
      </c>
      <c r="C126" s="12"/>
      <c r="D126" s="12"/>
      <c r="E126" s="12" t="s">
        <v>599</v>
      </c>
      <c r="F126" s="13">
        <v>31598</v>
      </c>
      <c r="G126" s="14" t="s">
        <v>600</v>
      </c>
      <c r="H126" s="11" t="s">
        <v>359</v>
      </c>
      <c r="I126" s="15">
        <v>0</v>
      </c>
      <c r="J126" s="13">
        <v>46246</v>
      </c>
      <c r="K126" s="16" t="s">
        <v>601</v>
      </c>
      <c r="L126" s="17" t="s">
        <v>602</v>
      </c>
      <c r="M126" s="18">
        <v>3613.48</v>
      </c>
      <c r="N126" s="19">
        <f t="shared" si="2"/>
        <v>248.34682808716704</v>
      </c>
      <c r="O126" s="19">
        <f t="shared" si="3"/>
        <v>3365.1331719128325</v>
      </c>
      <c r="P126" s="19">
        <f>O126*15%</f>
        <v>504.76997578692487</v>
      </c>
      <c r="S126" s="19"/>
      <c r="U126" s="19"/>
    </row>
    <row r="127" spans="1:21" s="20" customFormat="1" x14ac:dyDescent="0.2">
      <c r="A127" s="10">
        <v>69</v>
      </c>
      <c r="B127" s="11" t="s">
        <v>603</v>
      </c>
      <c r="C127" s="12"/>
      <c r="D127" s="12"/>
      <c r="E127" s="12" t="s">
        <v>80</v>
      </c>
      <c r="F127" s="13">
        <v>43318</v>
      </c>
      <c r="G127" s="14" t="s">
        <v>81</v>
      </c>
      <c r="H127" s="11" t="s">
        <v>359</v>
      </c>
      <c r="I127" s="15">
        <v>0</v>
      </c>
      <c r="J127" s="13">
        <v>46247</v>
      </c>
      <c r="K127" s="16" t="s">
        <v>421</v>
      </c>
      <c r="L127" s="17" t="s">
        <v>604</v>
      </c>
      <c r="M127" s="18">
        <v>4833.84</v>
      </c>
      <c r="N127" s="19">
        <f t="shared" si="2"/>
        <v>332.21958651517974</v>
      </c>
      <c r="O127" s="19">
        <f t="shared" si="3"/>
        <v>4501.6204134848203</v>
      </c>
      <c r="P127" s="19">
        <f>O127*18%</f>
        <v>810.29167442726759</v>
      </c>
      <c r="S127" s="19"/>
      <c r="U127" s="19"/>
    </row>
    <row r="128" spans="1:21" s="20" customFormat="1" x14ac:dyDescent="0.2">
      <c r="A128" s="20">
        <v>253</v>
      </c>
      <c r="B128" s="11" t="s">
        <v>605</v>
      </c>
      <c r="C128" s="12"/>
      <c r="D128" s="12"/>
      <c r="E128" s="12" t="s">
        <v>548</v>
      </c>
      <c r="F128" s="13">
        <v>26342</v>
      </c>
      <c r="G128" s="14" t="s">
        <v>549</v>
      </c>
      <c r="H128" s="11" t="s">
        <v>40</v>
      </c>
      <c r="I128" s="15">
        <v>0</v>
      </c>
      <c r="J128" s="13">
        <v>46247</v>
      </c>
      <c r="K128" s="16" t="s">
        <v>606</v>
      </c>
      <c r="L128" s="17" t="s">
        <v>311</v>
      </c>
      <c r="M128" s="18">
        <v>3608.43</v>
      </c>
      <c r="N128" s="19">
        <f t="shared" si="2"/>
        <v>247.99975228161668</v>
      </c>
      <c r="O128" s="19">
        <f t="shared" si="3"/>
        <v>3360.4302477183828</v>
      </c>
      <c r="P128" s="19">
        <f>O128*20%</f>
        <v>672.08604954367661</v>
      </c>
      <c r="S128" s="19"/>
      <c r="U128" s="19"/>
    </row>
    <row r="129" spans="1:21" s="20" customFormat="1" x14ac:dyDescent="0.2">
      <c r="A129" s="20">
        <v>252</v>
      </c>
      <c r="B129" s="11" t="s">
        <v>607</v>
      </c>
      <c r="C129" s="12"/>
      <c r="D129" s="12"/>
      <c r="E129" s="12" t="s">
        <v>608</v>
      </c>
      <c r="F129" s="13">
        <v>23692</v>
      </c>
      <c r="G129" s="14" t="s">
        <v>609</v>
      </c>
      <c r="H129" s="11" t="s">
        <v>40</v>
      </c>
      <c r="I129" s="15">
        <v>1</v>
      </c>
      <c r="J129" s="13">
        <v>46248</v>
      </c>
      <c r="K129" s="16" t="s">
        <v>610</v>
      </c>
      <c r="L129" s="17" t="s">
        <v>74</v>
      </c>
      <c r="M129" s="18">
        <v>701.04</v>
      </c>
      <c r="N129" s="19">
        <f t="shared" si="2"/>
        <v>48.180994598621716</v>
      </c>
      <c r="O129" s="19">
        <f t="shared" si="3"/>
        <v>652.85900540137823</v>
      </c>
      <c r="P129" s="19">
        <f>O129*20%</f>
        <v>130.57180108027566</v>
      </c>
      <c r="S129" s="19"/>
      <c r="U129" s="19"/>
    </row>
    <row r="130" spans="1:21" s="20" customFormat="1" x14ac:dyDescent="0.2">
      <c r="A130" s="10">
        <v>72</v>
      </c>
      <c r="B130" s="11" t="s">
        <v>611</v>
      </c>
      <c r="C130" s="12"/>
      <c r="D130" s="12"/>
      <c r="E130" s="12" t="s">
        <v>462</v>
      </c>
      <c r="F130" s="13">
        <v>34647</v>
      </c>
      <c r="G130" s="14" t="s">
        <v>439</v>
      </c>
      <c r="H130" s="11" t="s">
        <v>40</v>
      </c>
      <c r="I130" s="15">
        <v>1</v>
      </c>
      <c r="J130" s="13">
        <v>46249</v>
      </c>
      <c r="K130" s="16" t="s">
        <v>440</v>
      </c>
      <c r="L130" s="17" t="s">
        <v>74</v>
      </c>
      <c r="M130" s="18">
        <v>722.67</v>
      </c>
      <c r="N130" s="19">
        <f t="shared" ref="N130:N193" si="4">O130*Q$1</f>
        <v>49.667578692493947</v>
      </c>
      <c r="O130" s="19">
        <f t="shared" ref="O130:O193" si="5">M130/(1+$Q$1)</f>
        <v>673.00242130750598</v>
      </c>
      <c r="P130" s="19">
        <f>O130*15%</f>
        <v>100.95036319612589</v>
      </c>
      <c r="S130" s="19"/>
      <c r="U130" s="19"/>
    </row>
    <row r="131" spans="1:21" s="20" customFormat="1" x14ac:dyDescent="0.2">
      <c r="A131" s="10">
        <v>75</v>
      </c>
      <c r="B131" s="11" t="s">
        <v>612</v>
      </c>
      <c r="C131" s="12"/>
      <c r="D131" s="12"/>
      <c r="E131" s="12" t="s">
        <v>613</v>
      </c>
      <c r="F131" s="13">
        <v>34745</v>
      </c>
      <c r="G131" s="14" t="s">
        <v>614</v>
      </c>
      <c r="H131" s="11" t="s">
        <v>46</v>
      </c>
      <c r="I131" s="15">
        <v>0</v>
      </c>
      <c r="J131" s="13">
        <v>46251</v>
      </c>
      <c r="K131" s="16" t="s">
        <v>615</v>
      </c>
      <c r="L131" s="17" t="s">
        <v>616</v>
      </c>
      <c r="M131" s="18">
        <v>1957.81</v>
      </c>
      <c r="N131" s="19">
        <f t="shared" si="4"/>
        <v>134.5561352207115</v>
      </c>
      <c r="O131" s="19">
        <f t="shared" si="5"/>
        <v>1823.2538647792883</v>
      </c>
      <c r="P131" s="19">
        <f>O131*15%</f>
        <v>273.48807971689325</v>
      </c>
      <c r="S131" s="19"/>
      <c r="U131" s="19"/>
    </row>
    <row r="132" spans="1:21" s="20" customFormat="1" x14ac:dyDescent="0.2">
      <c r="A132" s="10">
        <v>76</v>
      </c>
      <c r="B132" s="11" t="s">
        <v>617</v>
      </c>
      <c r="C132" s="12"/>
      <c r="D132" s="12"/>
      <c r="E132" s="12" t="s">
        <v>80</v>
      </c>
      <c r="F132" s="13">
        <v>22240</v>
      </c>
      <c r="G132" s="14" t="s">
        <v>81</v>
      </c>
      <c r="H132" s="11" t="s">
        <v>46</v>
      </c>
      <c r="I132" s="15">
        <v>0</v>
      </c>
      <c r="J132" s="13">
        <v>46251</v>
      </c>
      <c r="K132" s="16" t="s">
        <v>301</v>
      </c>
      <c r="L132" s="17" t="s">
        <v>618</v>
      </c>
      <c r="M132" s="18">
        <v>8744.7199999999993</v>
      </c>
      <c r="N132" s="19">
        <f t="shared" si="4"/>
        <v>601.00608679456127</v>
      </c>
      <c r="O132" s="19">
        <f t="shared" si="5"/>
        <v>8143.7139132054372</v>
      </c>
      <c r="P132" s="19">
        <f>O132*14%</f>
        <v>1140.1199478487613</v>
      </c>
      <c r="S132" s="19"/>
      <c r="U132" s="19"/>
    </row>
    <row r="133" spans="1:21" s="20" customFormat="1" x14ac:dyDescent="0.2">
      <c r="A133" s="10">
        <v>77</v>
      </c>
      <c r="B133" s="11" t="s">
        <v>619</v>
      </c>
      <c r="C133" s="12"/>
      <c r="D133" s="12"/>
      <c r="E133" s="12" t="s">
        <v>319</v>
      </c>
      <c r="F133" s="13">
        <v>20080</v>
      </c>
      <c r="G133" s="14" t="s">
        <v>320</v>
      </c>
      <c r="H133" s="11" t="s">
        <v>22</v>
      </c>
      <c r="I133" s="15">
        <v>0</v>
      </c>
      <c r="J133" s="13">
        <v>46253</v>
      </c>
      <c r="K133" s="16" t="s">
        <v>321</v>
      </c>
      <c r="L133" s="17" t="s">
        <v>620</v>
      </c>
      <c r="M133" s="18">
        <v>2247.17</v>
      </c>
      <c r="N133" s="19">
        <f t="shared" si="4"/>
        <v>154.44323523933696</v>
      </c>
      <c r="O133" s="19">
        <f t="shared" si="5"/>
        <v>2092.7267647606632</v>
      </c>
      <c r="P133" s="19">
        <f>O133*20%</f>
        <v>418.54535295213265</v>
      </c>
      <c r="S133" s="19"/>
      <c r="U133" s="19"/>
    </row>
    <row r="134" spans="1:21" s="20" customFormat="1" x14ac:dyDescent="0.2">
      <c r="A134" s="10">
        <v>74</v>
      </c>
      <c r="B134" s="11" t="s">
        <v>621</v>
      </c>
      <c r="C134" s="12"/>
      <c r="D134" s="12"/>
      <c r="E134" s="12" t="s">
        <v>32</v>
      </c>
      <c r="F134" s="13">
        <v>25119</v>
      </c>
      <c r="G134" s="14" t="s">
        <v>622</v>
      </c>
      <c r="H134" s="11" t="s">
        <v>34</v>
      </c>
      <c r="I134" s="15">
        <v>0</v>
      </c>
      <c r="J134" s="13">
        <v>46253</v>
      </c>
      <c r="K134" s="16" t="s">
        <v>35</v>
      </c>
      <c r="L134" s="17" t="s">
        <v>623</v>
      </c>
      <c r="M134" s="18">
        <v>2940.57</v>
      </c>
      <c r="N134" s="19">
        <f t="shared" si="4"/>
        <v>202.09914881728443</v>
      </c>
      <c r="O134" s="19">
        <f t="shared" si="5"/>
        <v>2738.4708511827157</v>
      </c>
      <c r="P134" s="19">
        <f>O134*20%</f>
        <v>547.69417023654319</v>
      </c>
      <c r="S134" s="19"/>
      <c r="U134" s="19"/>
    </row>
    <row r="135" spans="1:21" s="20" customFormat="1" x14ac:dyDescent="0.2">
      <c r="A135" s="10">
        <v>78</v>
      </c>
      <c r="B135" s="11" t="s">
        <v>624</v>
      </c>
      <c r="C135" s="12" t="s">
        <v>625</v>
      </c>
      <c r="D135" s="12"/>
      <c r="E135" s="12" t="s">
        <v>38</v>
      </c>
      <c r="F135" s="13">
        <v>33545</v>
      </c>
      <c r="G135" s="14" t="s">
        <v>39</v>
      </c>
      <c r="H135" s="11" t="s">
        <v>204</v>
      </c>
      <c r="I135" s="15">
        <v>0</v>
      </c>
      <c r="J135" s="13">
        <v>46255</v>
      </c>
      <c r="K135" s="16" t="s">
        <v>626</v>
      </c>
      <c r="L135" s="17" t="s">
        <v>627</v>
      </c>
      <c r="M135" s="18">
        <v>1917.9</v>
      </c>
      <c r="N135" s="19">
        <f t="shared" si="4"/>
        <v>131.81320543862918</v>
      </c>
      <c r="O135" s="19">
        <f t="shared" si="5"/>
        <v>1786.0867945613709</v>
      </c>
      <c r="P135" s="19">
        <f>O135*20%</f>
        <v>357.21735891227422</v>
      </c>
      <c r="S135" s="19"/>
      <c r="U135" s="19"/>
    </row>
    <row r="136" spans="1:21" s="20" customFormat="1" x14ac:dyDescent="0.2">
      <c r="A136" s="10">
        <v>79</v>
      </c>
      <c r="B136" s="11" t="s">
        <v>628</v>
      </c>
      <c r="C136" s="12"/>
      <c r="D136" s="12"/>
      <c r="E136" s="12" t="s">
        <v>629</v>
      </c>
      <c r="F136" s="13">
        <v>30319</v>
      </c>
      <c r="G136" s="14" t="s">
        <v>630</v>
      </c>
      <c r="H136" s="11" t="s">
        <v>22</v>
      </c>
      <c r="I136" s="15">
        <v>0</v>
      </c>
      <c r="J136" s="13">
        <v>46255</v>
      </c>
      <c r="K136" s="16" t="s">
        <v>631</v>
      </c>
      <c r="L136" s="17" t="s">
        <v>632</v>
      </c>
      <c r="M136" s="18">
        <v>2731.93</v>
      </c>
      <c r="N136" s="19">
        <f t="shared" si="4"/>
        <v>187.75976345688207</v>
      </c>
      <c r="O136" s="19">
        <f t="shared" si="5"/>
        <v>2544.1702365431174</v>
      </c>
      <c r="P136" s="19">
        <f>O136*15%</f>
        <v>381.62553548146758</v>
      </c>
      <c r="S136" s="19"/>
      <c r="U136" s="19"/>
    </row>
    <row r="137" spans="1:21" s="20" customFormat="1" x14ac:dyDescent="0.2">
      <c r="A137" s="10">
        <v>80</v>
      </c>
      <c r="B137" s="11" t="s">
        <v>633</v>
      </c>
      <c r="C137" s="12" t="s">
        <v>634</v>
      </c>
      <c r="D137" s="12"/>
      <c r="E137" s="12" t="s">
        <v>635</v>
      </c>
      <c r="F137" s="13">
        <v>27585</v>
      </c>
      <c r="G137" s="14" t="s">
        <v>636</v>
      </c>
      <c r="H137" s="11" t="s">
        <v>46</v>
      </c>
      <c r="I137" s="15">
        <v>0</v>
      </c>
      <c r="J137" s="13">
        <v>46256</v>
      </c>
      <c r="K137" s="16" t="s">
        <v>637</v>
      </c>
      <c r="L137" s="17" t="s">
        <v>638</v>
      </c>
      <c r="M137" s="18">
        <v>6742.77</v>
      </c>
      <c r="N137" s="19">
        <f t="shared" si="4"/>
        <v>463.41630284969273</v>
      </c>
      <c r="O137" s="19">
        <f t="shared" si="5"/>
        <v>6279.3536971503072</v>
      </c>
      <c r="P137" s="19">
        <f>O137*10%</f>
        <v>627.93536971503079</v>
      </c>
      <c r="S137" s="19"/>
      <c r="U137" s="19"/>
    </row>
    <row r="138" spans="1:21" s="20" customFormat="1" x14ac:dyDescent="0.2">
      <c r="A138" s="20">
        <v>254</v>
      </c>
      <c r="B138" s="11" t="s">
        <v>639</v>
      </c>
      <c r="C138" s="12"/>
      <c r="D138" s="12"/>
      <c r="E138" s="12" t="s">
        <v>640</v>
      </c>
      <c r="F138" s="13">
        <v>37592</v>
      </c>
      <c r="G138" s="14" t="s">
        <v>641</v>
      </c>
      <c r="H138" s="11" t="s">
        <v>188</v>
      </c>
      <c r="I138" s="15">
        <v>4</v>
      </c>
      <c r="J138" s="13">
        <v>46256</v>
      </c>
      <c r="K138" s="16" t="s">
        <v>642</v>
      </c>
      <c r="L138" s="17" t="s">
        <v>643</v>
      </c>
      <c r="M138" s="18">
        <v>2496.11</v>
      </c>
      <c r="N138" s="19">
        <f t="shared" si="4"/>
        <v>171.55235425591357</v>
      </c>
      <c r="O138" s="19">
        <f t="shared" si="5"/>
        <v>2324.5576457440861</v>
      </c>
      <c r="P138" s="19">
        <f>O138*10%</f>
        <v>232.45576457440862</v>
      </c>
      <c r="S138" s="19"/>
      <c r="U138" s="19"/>
    </row>
    <row r="139" spans="1:21" s="20" customFormat="1" x14ac:dyDescent="0.2">
      <c r="A139" s="10">
        <v>81</v>
      </c>
      <c r="B139" s="11" t="s">
        <v>644</v>
      </c>
      <c r="C139" s="12" t="s">
        <v>645</v>
      </c>
      <c r="D139" s="12" t="s">
        <v>646</v>
      </c>
      <c r="E139" s="12" t="s">
        <v>647</v>
      </c>
      <c r="F139" s="13">
        <v>33065</v>
      </c>
      <c r="G139" s="14" t="s">
        <v>648</v>
      </c>
      <c r="H139" s="11" t="s">
        <v>22</v>
      </c>
      <c r="I139" s="15">
        <v>0</v>
      </c>
      <c r="J139" s="13">
        <v>46258</v>
      </c>
      <c r="K139" s="16" t="s">
        <v>649</v>
      </c>
      <c r="L139" s="17" t="s">
        <v>650</v>
      </c>
      <c r="M139" s="18">
        <v>5245.96</v>
      </c>
      <c r="N139" s="19">
        <f t="shared" si="4"/>
        <v>360.54372136338236</v>
      </c>
      <c r="O139" s="19">
        <f t="shared" si="5"/>
        <v>4885.4162786366169</v>
      </c>
      <c r="P139" s="19">
        <f>O139*15%</f>
        <v>732.81244179549253</v>
      </c>
      <c r="S139" s="19"/>
      <c r="U139" s="19"/>
    </row>
    <row r="140" spans="1:21" s="20" customFormat="1" x14ac:dyDescent="0.2">
      <c r="A140" s="10">
        <v>82</v>
      </c>
      <c r="B140" s="11" t="s">
        <v>651</v>
      </c>
      <c r="C140" s="12"/>
      <c r="D140" s="12"/>
      <c r="E140" s="12" t="s">
        <v>316</v>
      </c>
      <c r="F140" s="13">
        <v>40461</v>
      </c>
      <c r="G140" s="14" t="s">
        <v>56</v>
      </c>
      <c r="H140" s="11" t="s">
        <v>133</v>
      </c>
      <c r="I140" s="15">
        <v>4</v>
      </c>
      <c r="J140" s="13">
        <v>46260</v>
      </c>
      <c r="K140" s="16" t="s">
        <v>305</v>
      </c>
      <c r="L140" s="17" t="s">
        <v>652</v>
      </c>
      <c r="M140" s="18">
        <v>1921.65</v>
      </c>
      <c r="N140" s="19">
        <f t="shared" si="4"/>
        <v>132.07093499720619</v>
      </c>
      <c r="O140" s="19">
        <f t="shared" si="5"/>
        <v>1789.5790650027939</v>
      </c>
      <c r="P140" s="19">
        <f>O140*20%</f>
        <v>357.91581300055879</v>
      </c>
      <c r="S140" s="19"/>
      <c r="U140" s="19"/>
    </row>
    <row r="141" spans="1:21" s="20" customFormat="1" x14ac:dyDescent="0.2">
      <c r="A141" s="10">
        <v>83</v>
      </c>
      <c r="B141" s="11" t="s">
        <v>653</v>
      </c>
      <c r="C141" s="12"/>
      <c r="D141" s="12"/>
      <c r="E141" s="12" t="s">
        <v>654</v>
      </c>
      <c r="F141" s="13">
        <v>35023</v>
      </c>
      <c r="G141" s="14" t="s">
        <v>641</v>
      </c>
      <c r="H141" s="11" t="s">
        <v>359</v>
      </c>
      <c r="I141" s="15">
        <v>0</v>
      </c>
      <c r="J141" s="13">
        <v>46262</v>
      </c>
      <c r="K141" s="16" t="s">
        <v>655</v>
      </c>
      <c r="L141" s="17" t="s">
        <v>656</v>
      </c>
      <c r="M141" s="18">
        <v>3283.13</v>
      </c>
      <c r="N141" s="19">
        <f t="shared" si="4"/>
        <v>225.64257217358912</v>
      </c>
      <c r="O141" s="19">
        <f t="shared" si="5"/>
        <v>3057.4874278264106</v>
      </c>
      <c r="P141" s="19">
        <f>O141*20%</f>
        <v>611.49748556528209</v>
      </c>
      <c r="S141" s="19"/>
      <c r="U141" s="19"/>
    </row>
    <row r="142" spans="1:21" s="20" customFormat="1" x14ac:dyDescent="0.2">
      <c r="A142" s="10">
        <v>86</v>
      </c>
      <c r="B142" s="11" t="s">
        <v>657</v>
      </c>
      <c r="C142" s="12" t="s">
        <v>214</v>
      </c>
      <c r="D142" s="12"/>
      <c r="E142" s="12" t="s">
        <v>215</v>
      </c>
      <c r="F142" s="13">
        <v>24360</v>
      </c>
      <c r="G142" s="14" t="s">
        <v>216</v>
      </c>
      <c r="H142" s="11" t="s">
        <v>57</v>
      </c>
      <c r="I142" s="15">
        <v>0</v>
      </c>
      <c r="J142" s="13">
        <v>46265</v>
      </c>
      <c r="K142" s="16" t="s">
        <v>217</v>
      </c>
      <c r="L142" s="17" t="s">
        <v>658</v>
      </c>
      <c r="M142" s="18">
        <v>2781.24</v>
      </c>
      <c r="N142" s="19">
        <f t="shared" si="4"/>
        <v>191.14873533246413</v>
      </c>
      <c r="O142" s="19">
        <f t="shared" si="5"/>
        <v>2590.0912646675356</v>
      </c>
      <c r="P142" s="19">
        <f>O142*25%</f>
        <v>647.5228161668839</v>
      </c>
      <c r="S142" s="19"/>
      <c r="U142" s="19"/>
    </row>
    <row r="143" spans="1:21" s="20" customFormat="1" x14ac:dyDescent="0.2">
      <c r="A143" s="10">
        <v>85</v>
      </c>
      <c r="B143" s="11" t="s">
        <v>659</v>
      </c>
      <c r="C143" s="12" t="s">
        <v>660</v>
      </c>
      <c r="D143" s="12"/>
      <c r="E143" s="12" t="s">
        <v>661</v>
      </c>
      <c r="F143" s="13">
        <v>25695</v>
      </c>
      <c r="G143" s="14" t="s">
        <v>290</v>
      </c>
      <c r="H143" s="11" t="s">
        <v>28</v>
      </c>
      <c r="I143" s="15">
        <v>0</v>
      </c>
      <c r="J143" s="13">
        <v>46265</v>
      </c>
      <c r="K143" s="16" t="s">
        <v>662</v>
      </c>
      <c r="L143" s="17" t="s">
        <v>663</v>
      </c>
      <c r="M143" s="18">
        <v>1992.42</v>
      </c>
      <c r="N143" s="19">
        <f t="shared" si="4"/>
        <v>136.93480722667164</v>
      </c>
      <c r="O143" s="19">
        <f t="shared" si="5"/>
        <v>1855.4851927733282</v>
      </c>
      <c r="P143" s="19">
        <f>O143*19%</f>
        <v>352.54218662693239</v>
      </c>
      <c r="S143" s="19"/>
      <c r="U143" s="19"/>
    </row>
    <row r="144" spans="1:21" s="20" customFormat="1" x14ac:dyDescent="0.2">
      <c r="A144" s="20">
        <v>255</v>
      </c>
      <c r="B144" s="11" t="s">
        <v>664</v>
      </c>
      <c r="C144" s="12"/>
      <c r="D144" s="12"/>
      <c r="E144" s="12" t="s">
        <v>665</v>
      </c>
      <c r="F144" s="13">
        <v>31006</v>
      </c>
      <c r="G144" s="14" t="s">
        <v>666</v>
      </c>
      <c r="H144" s="11" t="s">
        <v>46</v>
      </c>
      <c r="I144" s="15">
        <v>0</v>
      </c>
      <c r="J144" s="13">
        <v>46266</v>
      </c>
      <c r="K144" s="16" t="s">
        <v>667</v>
      </c>
      <c r="L144" s="17" t="s">
        <v>668</v>
      </c>
      <c r="M144" s="18">
        <v>2948.35</v>
      </c>
      <c r="N144" s="19">
        <f t="shared" si="4"/>
        <v>202.63385174147885</v>
      </c>
      <c r="O144" s="19">
        <f t="shared" si="5"/>
        <v>2745.7161482585207</v>
      </c>
      <c r="P144" s="19">
        <f>O144*20%</f>
        <v>549.14322965170413</v>
      </c>
      <c r="S144" s="19"/>
      <c r="U144" s="19"/>
    </row>
    <row r="145" spans="1:21" s="20" customFormat="1" x14ac:dyDescent="0.2">
      <c r="A145" s="10">
        <v>87</v>
      </c>
      <c r="B145" s="11" t="s">
        <v>669</v>
      </c>
      <c r="C145" s="12"/>
      <c r="D145" s="12"/>
      <c r="E145" s="12" t="s">
        <v>215</v>
      </c>
      <c r="F145" s="13">
        <v>25081</v>
      </c>
      <c r="G145" s="14" t="s">
        <v>670</v>
      </c>
      <c r="H145" s="11" t="s">
        <v>297</v>
      </c>
      <c r="I145" s="15">
        <v>0</v>
      </c>
      <c r="J145" s="13">
        <v>46267</v>
      </c>
      <c r="K145" s="16" t="s">
        <v>671</v>
      </c>
      <c r="L145" s="17" t="s">
        <v>672</v>
      </c>
      <c r="M145" s="18">
        <v>3023.83</v>
      </c>
      <c r="N145" s="19">
        <f t="shared" si="4"/>
        <v>207.82143229651703</v>
      </c>
      <c r="O145" s="19">
        <f t="shared" si="5"/>
        <v>2816.0085677034826</v>
      </c>
      <c r="P145" s="19">
        <f>O145*20%</f>
        <v>563.20171354069657</v>
      </c>
      <c r="S145" s="19"/>
      <c r="U145" s="19"/>
    </row>
    <row r="146" spans="1:21" s="20" customFormat="1" x14ac:dyDescent="0.2">
      <c r="A146" s="20">
        <v>256</v>
      </c>
      <c r="B146" s="11" t="s">
        <v>673</v>
      </c>
      <c r="C146" s="12"/>
      <c r="D146" s="12"/>
      <c r="E146" s="12" t="s">
        <v>629</v>
      </c>
      <c r="F146" s="13">
        <v>40461</v>
      </c>
      <c r="G146" s="14" t="s">
        <v>630</v>
      </c>
      <c r="H146" s="11" t="s">
        <v>297</v>
      </c>
      <c r="I146" s="15">
        <v>0</v>
      </c>
      <c r="J146" s="13">
        <v>46271</v>
      </c>
      <c r="K146" s="16" t="s">
        <v>674</v>
      </c>
      <c r="L146" s="17" t="s">
        <v>675</v>
      </c>
      <c r="M146" s="18">
        <v>2307.35</v>
      </c>
      <c r="N146" s="19">
        <f t="shared" si="4"/>
        <v>158.57927919538091</v>
      </c>
      <c r="O146" s="19">
        <f t="shared" si="5"/>
        <v>2148.770720804619</v>
      </c>
      <c r="P146" s="19">
        <f>O146*16%</f>
        <v>343.80331532873907</v>
      </c>
      <c r="S146" s="19"/>
      <c r="U146" s="19"/>
    </row>
    <row r="147" spans="1:21" s="20" customFormat="1" x14ac:dyDescent="0.2">
      <c r="A147" s="10">
        <v>88</v>
      </c>
      <c r="B147" s="11" t="s">
        <v>676</v>
      </c>
      <c r="C147" s="12"/>
      <c r="D147" s="12"/>
      <c r="E147" s="12" t="s">
        <v>677</v>
      </c>
      <c r="F147" s="13">
        <v>24292</v>
      </c>
      <c r="G147" s="14" t="s">
        <v>678</v>
      </c>
      <c r="H147" s="11" t="s">
        <v>297</v>
      </c>
      <c r="I147" s="15">
        <v>0</v>
      </c>
      <c r="J147" s="13">
        <v>46275</v>
      </c>
      <c r="K147" s="16" t="s">
        <v>679</v>
      </c>
      <c r="L147" s="17" t="s">
        <v>680</v>
      </c>
      <c r="M147" s="18">
        <v>2546.6</v>
      </c>
      <c r="N147" s="19">
        <f t="shared" si="4"/>
        <v>175.02242503259453</v>
      </c>
      <c r="O147" s="19">
        <f t="shared" si="5"/>
        <v>2371.5775749674053</v>
      </c>
      <c r="P147" s="19">
        <f>O147*20%</f>
        <v>474.31551499348109</v>
      </c>
      <c r="S147" s="19"/>
      <c r="U147" s="19"/>
    </row>
    <row r="148" spans="1:21" s="20" customFormat="1" x14ac:dyDescent="0.2">
      <c r="A148" s="10">
        <v>89</v>
      </c>
      <c r="B148" s="11" t="s">
        <v>681</v>
      </c>
      <c r="C148" s="12"/>
      <c r="D148" s="12" t="s">
        <v>682</v>
      </c>
      <c r="E148" s="12" t="s">
        <v>683</v>
      </c>
      <c r="F148" s="13">
        <v>23172</v>
      </c>
      <c r="G148" s="14" t="s">
        <v>684</v>
      </c>
      <c r="H148" s="11" t="s">
        <v>28</v>
      </c>
      <c r="I148" s="15">
        <v>0</v>
      </c>
      <c r="J148" s="13">
        <v>46278</v>
      </c>
      <c r="K148" s="16" t="s">
        <v>685</v>
      </c>
      <c r="L148" s="17" t="s">
        <v>686</v>
      </c>
      <c r="M148" s="18">
        <v>9952.26</v>
      </c>
      <c r="N148" s="19">
        <f t="shared" si="4"/>
        <v>683.99775377165201</v>
      </c>
      <c r="O148" s="19">
        <f t="shared" si="5"/>
        <v>9268.2622462283471</v>
      </c>
      <c r="P148" s="19">
        <f>O148*15%</f>
        <v>1390.2393369342519</v>
      </c>
      <c r="S148" s="19"/>
      <c r="U148" s="19"/>
    </row>
    <row r="149" spans="1:21" s="20" customFormat="1" x14ac:dyDescent="0.2">
      <c r="A149" s="10">
        <v>92</v>
      </c>
      <c r="B149" s="11" t="s">
        <v>687</v>
      </c>
      <c r="C149" s="12"/>
      <c r="D149" s="12"/>
      <c r="E149" s="12" t="s">
        <v>688</v>
      </c>
      <c r="F149" s="13">
        <v>25302</v>
      </c>
      <c r="G149" s="14" t="s">
        <v>689</v>
      </c>
      <c r="H149" s="11" t="s">
        <v>28</v>
      </c>
      <c r="I149" s="15">
        <v>4</v>
      </c>
      <c r="J149" s="13">
        <v>46286</v>
      </c>
      <c r="K149" s="16" t="s">
        <v>690</v>
      </c>
      <c r="L149" s="17" t="s">
        <v>691</v>
      </c>
      <c r="M149" s="18">
        <v>2331.87</v>
      </c>
      <c r="N149" s="19">
        <f t="shared" si="4"/>
        <v>160.26448686906315</v>
      </c>
      <c r="O149" s="19">
        <f t="shared" si="5"/>
        <v>2171.6055131309367</v>
      </c>
      <c r="P149" s="19">
        <f>O149*20%</f>
        <v>434.32110262618738</v>
      </c>
      <c r="S149" s="19"/>
      <c r="U149" s="19"/>
    </row>
    <row r="150" spans="1:21" s="20" customFormat="1" x14ac:dyDescent="0.2">
      <c r="A150" s="20">
        <v>256</v>
      </c>
      <c r="B150" s="11" t="s">
        <v>692</v>
      </c>
      <c r="C150" s="12"/>
      <c r="D150" s="12"/>
      <c r="E150" s="12" t="s">
        <v>693</v>
      </c>
      <c r="F150" s="13">
        <v>40461</v>
      </c>
      <c r="G150" s="14" t="s">
        <v>694</v>
      </c>
      <c r="H150" s="11" t="s">
        <v>46</v>
      </c>
      <c r="I150" s="15">
        <v>0</v>
      </c>
      <c r="J150" s="13">
        <v>46289</v>
      </c>
      <c r="K150" s="16" t="s">
        <v>695</v>
      </c>
      <c r="L150" s="17" t="s">
        <v>696</v>
      </c>
      <c r="M150" s="18">
        <v>7551.42</v>
      </c>
      <c r="N150" s="19">
        <f t="shared" si="4"/>
        <v>518.99310486124045</v>
      </c>
      <c r="O150" s="19">
        <f t="shared" si="5"/>
        <v>7032.4268951387594</v>
      </c>
      <c r="P150" s="19">
        <f>O150*15%</f>
        <v>1054.8640342708138</v>
      </c>
      <c r="S150" s="19"/>
      <c r="U150" s="19"/>
    </row>
    <row r="151" spans="1:21" s="20" customFormat="1" x14ac:dyDescent="0.2">
      <c r="A151" s="10">
        <v>94</v>
      </c>
      <c r="B151" s="11" t="s">
        <v>697</v>
      </c>
      <c r="C151" s="12" t="s">
        <v>698</v>
      </c>
      <c r="D151" s="12"/>
      <c r="E151" s="12" t="s">
        <v>699</v>
      </c>
      <c r="F151" s="13">
        <v>21228</v>
      </c>
      <c r="G151" s="14" t="s">
        <v>700</v>
      </c>
      <c r="H151" s="11" t="s">
        <v>204</v>
      </c>
      <c r="I151" s="15">
        <v>0</v>
      </c>
      <c r="J151" s="13">
        <v>46291</v>
      </c>
      <c r="K151" s="16" t="s">
        <v>701</v>
      </c>
      <c r="L151" s="17" t="s">
        <v>702</v>
      </c>
      <c r="M151" s="18">
        <v>2205.75</v>
      </c>
      <c r="N151" s="19">
        <f t="shared" si="4"/>
        <v>151.59652635500092</v>
      </c>
      <c r="O151" s="19">
        <f t="shared" si="5"/>
        <v>2054.1534736449989</v>
      </c>
      <c r="P151" s="19">
        <f>O151*20%</f>
        <v>410.83069472899979</v>
      </c>
      <c r="S151" s="19"/>
      <c r="U151" s="19"/>
    </row>
    <row r="152" spans="1:21" s="20" customFormat="1" x14ac:dyDescent="0.2">
      <c r="A152" s="10">
        <v>96</v>
      </c>
      <c r="B152" s="11" t="s">
        <v>703</v>
      </c>
      <c r="C152" s="12"/>
      <c r="D152" s="12"/>
      <c r="E152" s="12" t="s">
        <v>704</v>
      </c>
      <c r="F152" s="13">
        <v>38080</v>
      </c>
      <c r="G152" s="14" t="s">
        <v>705</v>
      </c>
      <c r="H152" s="11" t="s">
        <v>188</v>
      </c>
      <c r="I152" s="15">
        <v>0</v>
      </c>
      <c r="J152" s="13">
        <v>46292</v>
      </c>
      <c r="K152" s="16" t="s">
        <v>706</v>
      </c>
      <c r="L152" s="17" t="s">
        <v>707</v>
      </c>
      <c r="M152" s="18">
        <v>4967.83</v>
      </c>
      <c r="N152" s="19">
        <f t="shared" si="4"/>
        <v>341.42843546284223</v>
      </c>
      <c r="O152" s="19">
        <f t="shared" si="5"/>
        <v>4626.4015645371574</v>
      </c>
      <c r="P152" s="19">
        <f>O152*16%</f>
        <v>740.22425032594515</v>
      </c>
      <c r="S152" s="19"/>
      <c r="U152" s="19"/>
    </row>
    <row r="153" spans="1:21" s="20" customFormat="1" x14ac:dyDescent="0.2">
      <c r="A153" s="10">
        <v>98</v>
      </c>
      <c r="B153" s="11" t="s">
        <v>708</v>
      </c>
      <c r="C153" s="12"/>
      <c r="D153" s="12" t="s">
        <v>709</v>
      </c>
      <c r="E153" s="12" t="s">
        <v>710</v>
      </c>
      <c r="F153" s="13">
        <v>25144</v>
      </c>
      <c r="G153" s="14" t="s">
        <v>711</v>
      </c>
      <c r="H153" s="11" t="s">
        <v>28</v>
      </c>
      <c r="I153" s="15">
        <v>0</v>
      </c>
      <c r="J153" s="13">
        <v>46294</v>
      </c>
      <c r="K153" s="16" t="s">
        <v>712</v>
      </c>
      <c r="L153" s="17" t="s">
        <v>713</v>
      </c>
      <c r="M153" s="18">
        <v>3536.07</v>
      </c>
      <c r="N153" s="19">
        <f t="shared" si="4"/>
        <v>243.02660271931461</v>
      </c>
      <c r="O153" s="19">
        <f t="shared" si="5"/>
        <v>3293.0433972806854</v>
      </c>
      <c r="P153" s="19">
        <f>O153*20%</f>
        <v>658.60867945613711</v>
      </c>
      <c r="S153" s="19"/>
      <c r="U153" s="19"/>
    </row>
    <row r="154" spans="1:21" s="20" customFormat="1" x14ac:dyDescent="0.2">
      <c r="A154" s="10">
        <v>71</v>
      </c>
      <c r="B154" s="11" t="s">
        <v>714</v>
      </c>
      <c r="C154" s="12" t="s">
        <v>394</v>
      </c>
      <c r="D154" s="12"/>
      <c r="E154" s="12" t="s">
        <v>395</v>
      </c>
      <c r="F154" s="13">
        <v>27204</v>
      </c>
      <c r="G154" s="14" t="s">
        <v>396</v>
      </c>
      <c r="H154" s="11" t="s">
        <v>133</v>
      </c>
      <c r="I154" s="15">
        <v>0</v>
      </c>
      <c r="J154" s="13">
        <v>46294</v>
      </c>
      <c r="K154" s="16" t="s">
        <v>715</v>
      </c>
      <c r="L154" s="17" t="s">
        <v>311</v>
      </c>
      <c r="M154" s="18">
        <v>3340.5</v>
      </c>
      <c r="N154" s="19">
        <f t="shared" si="4"/>
        <v>229.58549078040602</v>
      </c>
      <c r="O154" s="19">
        <f t="shared" si="5"/>
        <v>3110.9145092195936</v>
      </c>
      <c r="P154" s="19">
        <f>O154*10%</f>
        <v>311.09145092195939</v>
      </c>
      <c r="S154" s="19"/>
      <c r="U154" s="19"/>
    </row>
    <row r="155" spans="1:21" s="20" customFormat="1" x14ac:dyDescent="0.2">
      <c r="A155" s="10">
        <v>99</v>
      </c>
      <c r="B155" s="11" t="s">
        <v>716</v>
      </c>
      <c r="C155" s="12" t="s">
        <v>717</v>
      </c>
      <c r="D155" s="12"/>
      <c r="E155" s="12" t="s">
        <v>718</v>
      </c>
      <c r="F155" s="13">
        <v>24166</v>
      </c>
      <c r="G155" s="14" t="s">
        <v>719</v>
      </c>
      <c r="H155" s="11" t="s">
        <v>28</v>
      </c>
      <c r="I155" s="15">
        <v>0</v>
      </c>
      <c r="J155" s="13">
        <v>46294</v>
      </c>
      <c r="K155" s="16" t="s">
        <v>720</v>
      </c>
      <c r="L155" s="17" t="s">
        <v>721</v>
      </c>
      <c r="M155" s="18">
        <v>2851.7</v>
      </c>
      <c r="N155" s="19">
        <f t="shared" si="4"/>
        <v>195.99130191842053</v>
      </c>
      <c r="O155" s="19">
        <f t="shared" si="5"/>
        <v>2655.7086980815789</v>
      </c>
      <c r="P155" s="19">
        <f>O155*20%</f>
        <v>531.14173961631582</v>
      </c>
      <c r="S155" s="19"/>
      <c r="U155" s="19"/>
    </row>
    <row r="156" spans="1:21" s="20" customFormat="1" x14ac:dyDescent="0.2">
      <c r="A156" s="10">
        <v>100</v>
      </c>
      <c r="B156" s="11" t="s">
        <v>722</v>
      </c>
      <c r="C156" s="12"/>
      <c r="D156" s="12"/>
      <c r="E156" s="12">
        <v>41998748750</v>
      </c>
      <c r="F156" s="13">
        <v>22424</v>
      </c>
      <c r="G156" s="14" t="s">
        <v>723</v>
      </c>
      <c r="H156" s="11" t="s">
        <v>57</v>
      </c>
      <c r="I156" s="15">
        <v>0</v>
      </c>
      <c r="J156" s="13">
        <v>46295</v>
      </c>
      <c r="K156" s="16" t="s">
        <v>724</v>
      </c>
      <c r="L156" s="17" t="s">
        <v>725</v>
      </c>
      <c r="M156" s="18">
        <v>3019.51</v>
      </c>
      <c r="N156" s="19">
        <f t="shared" si="4"/>
        <v>207.52452784503632</v>
      </c>
      <c r="O156" s="19">
        <f t="shared" si="5"/>
        <v>2811.9854721549636</v>
      </c>
      <c r="P156" s="19">
        <f>O156*20%</f>
        <v>562.39709443099275</v>
      </c>
      <c r="S156" s="19"/>
      <c r="U156" s="19"/>
    </row>
    <row r="157" spans="1:21" s="20" customFormat="1" x14ac:dyDescent="0.2">
      <c r="A157" s="10">
        <v>101</v>
      </c>
      <c r="B157" s="11" t="s">
        <v>726</v>
      </c>
      <c r="C157" s="12"/>
      <c r="D157" s="12"/>
      <c r="E157" s="12" t="s">
        <v>727</v>
      </c>
      <c r="F157" s="13">
        <v>36499</v>
      </c>
      <c r="G157" s="14" t="s">
        <v>728</v>
      </c>
      <c r="H157" s="11" t="s">
        <v>133</v>
      </c>
      <c r="I157" s="15">
        <v>0</v>
      </c>
      <c r="J157" s="13">
        <v>46298</v>
      </c>
      <c r="K157" s="16" t="s">
        <v>729</v>
      </c>
      <c r="L157" s="17" t="s">
        <v>730</v>
      </c>
      <c r="M157" s="18">
        <v>3679.94</v>
      </c>
      <c r="N157" s="19">
        <f t="shared" si="4"/>
        <v>252.91448314397468</v>
      </c>
      <c r="O157" s="19">
        <f t="shared" si="5"/>
        <v>3427.0255168560252</v>
      </c>
      <c r="P157" s="19">
        <f>O157*20%</f>
        <v>685.40510337120509</v>
      </c>
      <c r="S157" s="19"/>
      <c r="U157" s="19"/>
    </row>
    <row r="158" spans="1:21" s="20" customFormat="1" x14ac:dyDescent="0.2">
      <c r="A158" s="10">
        <v>103</v>
      </c>
      <c r="B158" s="11" t="s">
        <v>731</v>
      </c>
      <c r="C158" s="12"/>
      <c r="D158" s="12"/>
      <c r="E158" s="12" t="s">
        <v>110</v>
      </c>
      <c r="F158" s="13">
        <v>18039</v>
      </c>
      <c r="G158" s="14" t="s">
        <v>111</v>
      </c>
      <c r="H158" s="11" t="s">
        <v>204</v>
      </c>
      <c r="I158" s="15">
        <v>0</v>
      </c>
      <c r="J158" s="13">
        <v>46298</v>
      </c>
      <c r="K158" s="16" t="s">
        <v>732</v>
      </c>
      <c r="L158" s="17" t="s">
        <v>733</v>
      </c>
      <c r="M158" s="18">
        <v>6032.03</v>
      </c>
      <c r="N158" s="19">
        <f t="shared" si="4"/>
        <v>414.56864779288503</v>
      </c>
      <c r="O158" s="19">
        <f t="shared" si="5"/>
        <v>5617.461352207114</v>
      </c>
      <c r="P158" s="19">
        <f>O158*20%</f>
        <v>1123.4922704414228</v>
      </c>
      <c r="S158" s="19"/>
      <c r="U158" s="19"/>
    </row>
    <row r="159" spans="1:21" s="20" customFormat="1" x14ac:dyDescent="0.2">
      <c r="A159" s="20">
        <v>253</v>
      </c>
      <c r="B159" s="11" t="s">
        <v>734</v>
      </c>
      <c r="C159" s="12"/>
      <c r="D159" s="12" t="s">
        <v>735</v>
      </c>
      <c r="E159" s="12" t="s">
        <v>736</v>
      </c>
      <c r="F159" s="13">
        <v>40461</v>
      </c>
      <c r="G159" s="14" t="s">
        <v>737</v>
      </c>
      <c r="H159" s="11" t="s">
        <v>46</v>
      </c>
      <c r="I159" s="15">
        <v>0</v>
      </c>
      <c r="J159" s="13">
        <v>46298</v>
      </c>
      <c r="K159" s="16" t="s">
        <v>738</v>
      </c>
      <c r="L159" s="17" t="s">
        <v>739</v>
      </c>
      <c r="M159" s="18">
        <v>5600.11</v>
      </c>
      <c r="N159" s="19">
        <f t="shared" si="4"/>
        <v>384.88370087539573</v>
      </c>
      <c r="O159" s="19">
        <f t="shared" si="5"/>
        <v>5215.2262991246034</v>
      </c>
      <c r="P159" s="19">
        <f>O159*10%</f>
        <v>521.52262991246039</v>
      </c>
      <c r="S159" s="19"/>
      <c r="U159" s="19"/>
    </row>
    <row r="160" spans="1:21" s="20" customFormat="1" x14ac:dyDescent="0.2">
      <c r="A160" s="10">
        <v>105</v>
      </c>
      <c r="B160" s="11" t="s">
        <v>740</v>
      </c>
      <c r="C160" s="12" t="s">
        <v>634</v>
      </c>
      <c r="D160" s="12"/>
      <c r="E160" s="12" t="s">
        <v>635</v>
      </c>
      <c r="F160" s="13">
        <v>27585</v>
      </c>
      <c r="G160" s="14" t="s">
        <v>636</v>
      </c>
      <c r="H160" s="11" t="s">
        <v>22</v>
      </c>
      <c r="I160" s="15">
        <v>1</v>
      </c>
      <c r="J160" s="13">
        <v>46300</v>
      </c>
      <c r="K160" s="16" t="s">
        <v>741</v>
      </c>
      <c r="L160" s="17" t="s">
        <v>74</v>
      </c>
      <c r="M160" s="18">
        <v>1126.1600000000001</v>
      </c>
      <c r="N160" s="19">
        <f t="shared" si="4"/>
        <v>77.398591916558019</v>
      </c>
      <c r="O160" s="19">
        <f t="shared" si="5"/>
        <v>1048.7614080834419</v>
      </c>
      <c r="P160" s="19">
        <f>O160*10%</f>
        <v>104.87614080834419</v>
      </c>
      <c r="S160" s="19"/>
      <c r="U160" s="19"/>
    </row>
    <row r="161" spans="1:21" s="20" customFormat="1" x14ac:dyDescent="0.2">
      <c r="A161" s="20">
        <v>252</v>
      </c>
      <c r="B161" s="11" t="s">
        <v>742</v>
      </c>
      <c r="C161" s="12"/>
      <c r="D161" s="12"/>
      <c r="E161" s="12" t="s">
        <v>743</v>
      </c>
      <c r="F161" s="13">
        <v>26458</v>
      </c>
      <c r="G161" s="14" t="s">
        <v>728</v>
      </c>
      <c r="H161" s="11" t="s">
        <v>40</v>
      </c>
      <c r="I161" s="15">
        <v>0</v>
      </c>
      <c r="J161" s="13">
        <v>46302</v>
      </c>
      <c r="K161" s="16" t="s">
        <v>744</v>
      </c>
      <c r="L161" s="17" t="s">
        <v>745</v>
      </c>
      <c r="M161" s="18">
        <v>5064.8</v>
      </c>
      <c r="N161" s="19">
        <f t="shared" si="4"/>
        <v>348.09297820823241</v>
      </c>
      <c r="O161" s="19">
        <f t="shared" si="5"/>
        <v>4716.7070217917671</v>
      </c>
      <c r="P161" s="19">
        <f>O161*20%</f>
        <v>943.34140435835343</v>
      </c>
      <c r="S161" s="19"/>
      <c r="U161" s="19"/>
    </row>
    <row r="162" spans="1:21" s="20" customFormat="1" x14ac:dyDescent="0.2">
      <c r="A162" s="10">
        <v>107</v>
      </c>
      <c r="B162" s="11" t="s">
        <v>746</v>
      </c>
      <c r="C162" s="12" t="s">
        <v>747</v>
      </c>
      <c r="D162" s="12"/>
      <c r="E162" s="12" t="s">
        <v>748</v>
      </c>
      <c r="F162" s="13">
        <v>19494</v>
      </c>
      <c r="G162" s="14" t="s">
        <v>749</v>
      </c>
      <c r="H162" s="11" t="s">
        <v>204</v>
      </c>
      <c r="I162" s="15">
        <v>0</v>
      </c>
      <c r="J162" s="13">
        <v>46304</v>
      </c>
      <c r="K162" s="16" t="s">
        <v>750</v>
      </c>
      <c r="L162" s="17" t="s">
        <v>751</v>
      </c>
      <c r="M162" s="18">
        <v>2154.41</v>
      </c>
      <c r="N162" s="19">
        <f t="shared" si="4"/>
        <v>148.06803687837584</v>
      </c>
      <c r="O162" s="19">
        <f t="shared" si="5"/>
        <v>2006.3419631216238</v>
      </c>
      <c r="P162" s="19">
        <f>O162*20%</f>
        <v>401.2683926243248</v>
      </c>
      <c r="S162" s="19"/>
      <c r="U162" s="19"/>
    </row>
    <row r="163" spans="1:21" s="20" customFormat="1" x14ac:dyDescent="0.2">
      <c r="A163" s="10">
        <v>108</v>
      </c>
      <c r="B163" s="11" t="s">
        <v>752</v>
      </c>
      <c r="C163" s="12"/>
      <c r="D163" s="12" t="s">
        <v>753</v>
      </c>
      <c r="E163" s="12" t="s">
        <v>754</v>
      </c>
      <c r="F163" s="13">
        <v>29714</v>
      </c>
      <c r="G163" s="14" t="s">
        <v>755</v>
      </c>
      <c r="H163" s="11" t="s">
        <v>57</v>
      </c>
      <c r="I163" s="15">
        <v>0</v>
      </c>
      <c r="J163" s="13">
        <v>46305</v>
      </c>
      <c r="K163" s="16" t="s">
        <v>756</v>
      </c>
      <c r="L163" s="17" t="s">
        <v>757</v>
      </c>
      <c r="M163" s="18">
        <v>3848.34</v>
      </c>
      <c r="N163" s="19">
        <f t="shared" si="4"/>
        <v>264.48825852113987</v>
      </c>
      <c r="O163" s="19">
        <f t="shared" si="5"/>
        <v>3583.8517414788598</v>
      </c>
      <c r="P163" s="19">
        <f>O163*25%</f>
        <v>895.96293536971496</v>
      </c>
      <c r="S163" s="19"/>
      <c r="U163" s="19"/>
    </row>
    <row r="164" spans="1:21" s="20" customFormat="1" x14ac:dyDescent="0.2">
      <c r="A164" s="10">
        <v>109</v>
      </c>
      <c r="B164" s="11" t="s">
        <v>758</v>
      </c>
      <c r="C164" s="12"/>
      <c r="D164" s="12"/>
      <c r="E164" s="12" t="s">
        <v>372</v>
      </c>
      <c r="F164" s="13">
        <v>30709</v>
      </c>
      <c r="G164" s="14" t="s">
        <v>348</v>
      </c>
      <c r="H164" s="11" t="s">
        <v>22</v>
      </c>
      <c r="I164" s="15">
        <v>0</v>
      </c>
      <c r="J164" s="13">
        <v>46306</v>
      </c>
      <c r="K164" s="16" t="s">
        <v>373</v>
      </c>
      <c r="L164" s="17" t="s">
        <v>759</v>
      </c>
      <c r="M164" s="18">
        <v>1183.52</v>
      </c>
      <c r="N164" s="19">
        <f t="shared" si="4"/>
        <v>81.340823244552055</v>
      </c>
      <c r="O164" s="19">
        <f t="shared" si="5"/>
        <v>1102.1791767554478</v>
      </c>
      <c r="P164" s="19">
        <f>O164*10%</f>
        <v>110.21791767554478</v>
      </c>
      <c r="S164" s="19"/>
      <c r="U164" s="19"/>
    </row>
    <row r="165" spans="1:21" s="20" customFormat="1" x14ac:dyDescent="0.2">
      <c r="A165" s="10">
        <v>111</v>
      </c>
      <c r="B165" s="11" t="s">
        <v>760</v>
      </c>
      <c r="C165" s="12" t="s">
        <v>761</v>
      </c>
      <c r="D165" s="12"/>
      <c r="E165" s="12" t="s">
        <v>762</v>
      </c>
      <c r="F165" s="13">
        <v>19412</v>
      </c>
      <c r="G165" s="14" t="s">
        <v>763</v>
      </c>
      <c r="H165" s="11" t="s">
        <v>133</v>
      </c>
      <c r="I165" s="15">
        <v>0</v>
      </c>
      <c r="J165" s="13">
        <v>46308</v>
      </c>
      <c r="K165" s="16" t="s">
        <v>764</v>
      </c>
      <c r="L165" s="17" t="s">
        <v>765</v>
      </c>
      <c r="M165" s="18">
        <v>3483.51</v>
      </c>
      <c r="N165" s="19">
        <f t="shared" si="4"/>
        <v>239.41426522629914</v>
      </c>
      <c r="O165" s="19">
        <f t="shared" si="5"/>
        <v>3244.0957347737008</v>
      </c>
      <c r="P165" s="19">
        <f>O165*25%</f>
        <v>811.02393369342519</v>
      </c>
      <c r="S165" s="19"/>
      <c r="U165" s="19"/>
    </row>
    <row r="166" spans="1:21" s="20" customFormat="1" x14ac:dyDescent="0.2">
      <c r="A166" s="10">
        <v>112</v>
      </c>
      <c r="B166" s="11" t="s">
        <v>766</v>
      </c>
      <c r="C166" s="12" t="s">
        <v>767</v>
      </c>
      <c r="D166" s="12"/>
      <c r="E166" s="12" t="s">
        <v>768</v>
      </c>
      <c r="F166" s="13">
        <v>21937</v>
      </c>
      <c r="G166" s="14" t="s">
        <v>769</v>
      </c>
      <c r="H166" s="11" t="s">
        <v>46</v>
      </c>
      <c r="I166" s="15">
        <v>0</v>
      </c>
      <c r="J166" s="13">
        <v>46309</v>
      </c>
      <c r="K166" s="16" t="s">
        <v>770</v>
      </c>
      <c r="L166" s="17" t="s">
        <v>771</v>
      </c>
      <c r="M166" s="18">
        <v>4174.18</v>
      </c>
      <c r="N166" s="19">
        <f t="shared" si="4"/>
        <v>286.88255168560255</v>
      </c>
      <c r="O166" s="19">
        <f t="shared" si="5"/>
        <v>3887.2974483143976</v>
      </c>
      <c r="P166" s="19">
        <f>O166*20%</f>
        <v>777.45948966287961</v>
      </c>
      <c r="S166" s="19"/>
      <c r="U166" s="19"/>
    </row>
    <row r="167" spans="1:21" s="20" customFormat="1" x14ac:dyDescent="0.2">
      <c r="A167" s="10">
        <v>113</v>
      </c>
      <c r="B167" s="11" t="s">
        <v>772</v>
      </c>
      <c r="C167" s="12"/>
      <c r="D167" s="12"/>
      <c r="E167" s="12" t="s">
        <v>773</v>
      </c>
      <c r="F167" s="13">
        <v>24738</v>
      </c>
      <c r="G167" s="14" t="s">
        <v>774</v>
      </c>
      <c r="H167" s="11" t="s">
        <v>28</v>
      </c>
      <c r="I167" s="15">
        <v>0</v>
      </c>
      <c r="J167" s="13">
        <v>46310</v>
      </c>
      <c r="K167" s="16" t="s">
        <v>775</v>
      </c>
      <c r="L167" s="23" t="s">
        <v>776</v>
      </c>
      <c r="M167" s="18">
        <v>10028.459999999999</v>
      </c>
      <c r="N167" s="19">
        <f t="shared" si="4"/>
        <v>689.23481840193699</v>
      </c>
      <c r="O167" s="19">
        <f t="shared" si="5"/>
        <v>9339.2251815980617</v>
      </c>
      <c r="P167" s="19">
        <f>O167*10%</f>
        <v>933.92251815980626</v>
      </c>
      <c r="S167" s="19"/>
      <c r="U167" s="19"/>
    </row>
    <row r="168" spans="1:21" s="20" customFormat="1" x14ac:dyDescent="0.2">
      <c r="A168" s="20">
        <v>251</v>
      </c>
      <c r="B168" s="11" t="s">
        <v>777</v>
      </c>
      <c r="C168" s="12"/>
      <c r="D168" s="12"/>
      <c r="E168" s="12" t="s">
        <v>778</v>
      </c>
      <c r="F168" s="13">
        <v>23679</v>
      </c>
      <c r="G168" s="14" t="s">
        <v>779</v>
      </c>
      <c r="H168" s="11" t="s">
        <v>40</v>
      </c>
      <c r="I168" s="15">
        <v>0</v>
      </c>
      <c r="J168" s="13">
        <v>46311</v>
      </c>
      <c r="K168" s="16" t="s">
        <v>780</v>
      </c>
      <c r="L168" s="17" t="s">
        <v>311</v>
      </c>
      <c r="M168" s="18">
        <v>2730.35</v>
      </c>
      <c r="N168" s="19">
        <f t="shared" si="4"/>
        <v>187.6511734028683</v>
      </c>
      <c r="O168" s="19">
        <f t="shared" si="5"/>
        <v>2542.6988265971313</v>
      </c>
      <c r="P168" s="19">
        <f>O168*15%</f>
        <v>381.40482398956971</v>
      </c>
      <c r="S168" s="19"/>
      <c r="U168" s="19"/>
    </row>
    <row r="169" spans="1:21" s="20" customFormat="1" x14ac:dyDescent="0.2">
      <c r="A169" s="20">
        <v>252</v>
      </c>
      <c r="B169" s="11" t="s">
        <v>781</v>
      </c>
      <c r="C169" s="12"/>
      <c r="D169" s="12"/>
      <c r="E169" s="12" t="s">
        <v>782</v>
      </c>
      <c r="F169" s="13">
        <v>28589</v>
      </c>
      <c r="G169" s="14" t="s">
        <v>783</v>
      </c>
      <c r="H169" s="11" t="s">
        <v>28</v>
      </c>
      <c r="I169" s="15">
        <v>0</v>
      </c>
      <c r="J169" s="13">
        <v>46311</v>
      </c>
      <c r="K169" s="16" t="s">
        <v>784</v>
      </c>
      <c r="L169" s="17" t="s">
        <v>785</v>
      </c>
      <c r="M169" s="18">
        <v>5727.98</v>
      </c>
      <c r="N169" s="19">
        <f t="shared" si="4"/>
        <v>393.67193518346056</v>
      </c>
      <c r="O169" s="19">
        <f t="shared" si="5"/>
        <v>5334.3080648165387</v>
      </c>
      <c r="P169" s="19">
        <f>O169*10%</f>
        <v>533.43080648165392</v>
      </c>
      <c r="S169" s="19"/>
      <c r="U169" s="19"/>
    </row>
    <row r="170" spans="1:21" s="20" customFormat="1" x14ac:dyDescent="0.2">
      <c r="A170" s="10">
        <v>117</v>
      </c>
      <c r="B170" s="11" t="s">
        <v>786</v>
      </c>
      <c r="C170" s="12"/>
      <c r="D170" s="12" t="s">
        <v>787</v>
      </c>
      <c r="E170" s="12" t="s">
        <v>788</v>
      </c>
      <c r="F170" s="13">
        <v>40461</v>
      </c>
      <c r="G170" s="14" t="s">
        <v>789</v>
      </c>
      <c r="H170" s="11" t="s">
        <v>28</v>
      </c>
      <c r="I170" s="15">
        <v>0</v>
      </c>
      <c r="J170" s="13">
        <v>46316</v>
      </c>
      <c r="K170" s="16" t="s">
        <v>790</v>
      </c>
      <c r="L170" s="17" t="s">
        <v>791</v>
      </c>
      <c r="M170" s="18">
        <v>3844.04</v>
      </c>
      <c r="N170" s="19">
        <f t="shared" si="4"/>
        <v>264.19272862730486</v>
      </c>
      <c r="O170" s="19">
        <f t="shared" si="5"/>
        <v>3579.8472713726946</v>
      </c>
      <c r="P170" s="19">
        <f>O170*20%</f>
        <v>715.96945427453898</v>
      </c>
      <c r="S170" s="19"/>
      <c r="U170" s="19"/>
    </row>
    <row r="171" spans="1:21" s="20" customFormat="1" x14ac:dyDescent="0.2">
      <c r="A171" s="20">
        <v>253</v>
      </c>
      <c r="B171" s="11" t="s">
        <v>792</v>
      </c>
      <c r="C171" s="12"/>
      <c r="D171" s="12" t="s">
        <v>793</v>
      </c>
      <c r="E171" s="12" t="s">
        <v>794</v>
      </c>
      <c r="F171" s="13"/>
      <c r="G171" s="14" t="s">
        <v>795</v>
      </c>
      <c r="H171" s="11" t="s">
        <v>796</v>
      </c>
      <c r="I171" s="15">
        <v>3</v>
      </c>
      <c r="J171" s="13">
        <v>46316</v>
      </c>
      <c r="K171" s="16" t="s">
        <v>797</v>
      </c>
      <c r="L171" s="17" t="s">
        <v>53</v>
      </c>
      <c r="M171" s="18">
        <v>173124.5</v>
      </c>
      <c r="N171" s="19">
        <f t="shared" si="4"/>
        <v>11898.480257031104</v>
      </c>
      <c r="O171" s="19">
        <f t="shared" si="5"/>
        <v>161226.01974296887</v>
      </c>
      <c r="P171" s="19">
        <f>O171*10%</f>
        <v>16122.601974296887</v>
      </c>
      <c r="S171" s="19"/>
      <c r="U171" s="19"/>
    </row>
    <row r="172" spans="1:21" s="20" customFormat="1" x14ac:dyDescent="0.2">
      <c r="A172" s="10">
        <v>118</v>
      </c>
      <c r="B172" s="11" t="s">
        <v>798</v>
      </c>
      <c r="C172" s="12"/>
      <c r="D172" s="12"/>
      <c r="E172" s="12" t="s">
        <v>799</v>
      </c>
      <c r="F172" s="13">
        <v>35676</v>
      </c>
      <c r="G172" s="14" t="s">
        <v>800</v>
      </c>
      <c r="H172" s="11" t="s">
        <v>46</v>
      </c>
      <c r="I172" s="15">
        <v>0</v>
      </c>
      <c r="J172" s="13">
        <v>46317</v>
      </c>
      <c r="K172" s="16" t="s">
        <v>801</v>
      </c>
      <c r="L172" s="17" t="s">
        <v>802</v>
      </c>
      <c r="M172" s="18">
        <v>5689.58</v>
      </c>
      <c r="N172" s="19">
        <f t="shared" si="4"/>
        <v>391.03278450363194</v>
      </c>
      <c r="O172" s="19">
        <f t="shared" si="5"/>
        <v>5298.5472154963672</v>
      </c>
      <c r="P172" s="19">
        <f>O172*20%</f>
        <v>1059.7094430992736</v>
      </c>
      <c r="S172" s="19"/>
      <c r="U172" s="19"/>
    </row>
    <row r="173" spans="1:21" s="20" customFormat="1" x14ac:dyDescent="0.2">
      <c r="A173" s="10">
        <v>119</v>
      </c>
      <c r="B173" s="11" t="s">
        <v>803</v>
      </c>
      <c r="C173" s="12"/>
      <c r="D173" s="12"/>
      <c r="E173" s="12" t="s">
        <v>804</v>
      </c>
      <c r="F173" s="13">
        <v>30018</v>
      </c>
      <c r="G173" s="14" t="s">
        <v>805</v>
      </c>
      <c r="H173" s="11" t="s">
        <v>46</v>
      </c>
      <c r="I173" s="15">
        <v>0</v>
      </c>
      <c r="J173" s="13">
        <v>46323</v>
      </c>
      <c r="K173" s="16" t="s">
        <v>806</v>
      </c>
      <c r="L173" s="17" t="s">
        <v>807</v>
      </c>
      <c r="M173" s="18">
        <v>2463</v>
      </c>
      <c r="N173" s="19">
        <f t="shared" si="4"/>
        <v>169.27677407338425</v>
      </c>
      <c r="O173" s="19">
        <f t="shared" si="5"/>
        <v>2293.7232259266157</v>
      </c>
      <c r="P173" s="19">
        <f>O173*20%</f>
        <v>458.74464518532318</v>
      </c>
      <c r="S173" s="19"/>
      <c r="U173" s="19"/>
    </row>
    <row r="174" spans="1:21" s="20" customFormat="1" x14ac:dyDescent="0.2">
      <c r="A174" s="20">
        <v>253</v>
      </c>
      <c r="B174" s="11" t="s">
        <v>808</v>
      </c>
      <c r="C174" s="12"/>
      <c r="D174" s="12" t="s">
        <v>809</v>
      </c>
      <c r="E174" s="12"/>
      <c r="F174" s="13">
        <v>31431</v>
      </c>
      <c r="G174" s="14" t="s">
        <v>810</v>
      </c>
      <c r="H174" s="11" t="s">
        <v>28</v>
      </c>
      <c r="I174" s="15">
        <v>0</v>
      </c>
      <c r="J174" s="13">
        <v>46323</v>
      </c>
      <c r="K174" s="16" t="s">
        <v>811</v>
      </c>
      <c r="L174" s="17" t="s">
        <v>812</v>
      </c>
      <c r="M174" s="18">
        <v>3876.47</v>
      </c>
      <c r="N174" s="19">
        <f t="shared" si="4"/>
        <v>266.42157384987894</v>
      </c>
      <c r="O174" s="19">
        <f t="shared" si="5"/>
        <v>3610.0484261501206</v>
      </c>
      <c r="P174" s="19">
        <f>O174*10%</f>
        <v>361.00484261501208</v>
      </c>
      <c r="S174" s="19"/>
      <c r="U174" s="19"/>
    </row>
    <row r="175" spans="1:21" s="20" customFormat="1" x14ac:dyDescent="0.2">
      <c r="A175" s="10">
        <v>120</v>
      </c>
      <c r="B175" s="11" t="s">
        <v>813</v>
      </c>
      <c r="C175" s="12"/>
      <c r="D175" s="12" t="s">
        <v>814</v>
      </c>
      <c r="E175" s="12" t="s">
        <v>635</v>
      </c>
      <c r="F175" s="13"/>
      <c r="G175" s="14" t="s">
        <v>815</v>
      </c>
      <c r="H175" s="11" t="s">
        <v>28</v>
      </c>
      <c r="I175" s="15">
        <v>0</v>
      </c>
      <c r="J175" s="13">
        <v>46325</v>
      </c>
      <c r="K175" s="16" t="s">
        <v>637</v>
      </c>
      <c r="L175" s="17" t="s">
        <v>816</v>
      </c>
      <c r="M175" s="18">
        <v>2073.54</v>
      </c>
      <c r="N175" s="19">
        <f t="shared" si="4"/>
        <v>142.51001303780964</v>
      </c>
      <c r="O175" s="19">
        <f t="shared" si="5"/>
        <v>1931.0299869621902</v>
      </c>
      <c r="P175" s="19">
        <f>O175*10%</f>
        <v>193.10299869621903</v>
      </c>
      <c r="S175" s="19"/>
      <c r="U175" s="19"/>
    </row>
    <row r="176" spans="1:21" s="20" customFormat="1" x14ac:dyDescent="0.2">
      <c r="A176" s="10">
        <v>121</v>
      </c>
      <c r="B176" s="11" t="s">
        <v>817</v>
      </c>
      <c r="C176" s="12" t="s">
        <v>818</v>
      </c>
      <c r="D176" s="12"/>
      <c r="E176" s="12" t="s">
        <v>819</v>
      </c>
      <c r="F176" s="13">
        <v>17256</v>
      </c>
      <c r="G176" s="14" t="s">
        <v>820</v>
      </c>
      <c r="H176" s="11" t="s">
        <v>28</v>
      </c>
      <c r="I176" s="15">
        <v>0</v>
      </c>
      <c r="J176" s="13">
        <v>46326</v>
      </c>
      <c r="K176" s="16" t="s">
        <v>821</v>
      </c>
      <c r="L176" s="17" t="s">
        <v>822</v>
      </c>
      <c r="M176" s="18">
        <v>3471.73</v>
      </c>
      <c r="N176" s="19">
        <f t="shared" si="4"/>
        <v>238.60465077295586</v>
      </c>
      <c r="O176" s="19">
        <f t="shared" si="5"/>
        <v>3233.1253492270439</v>
      </c>
      <c r="P176" s="19">
        <f>O176*15%</f>
        <v>484.96880238405657</v>
      </c>
      <c r="S176" s="19"/>
      <c r="U176" s="19"/>
    </row>
    <row r="177" spans="1:21" s="20" customFormat="1" x14ac:dyDescent="0.2">
      <c r="A177" s="20">
        <v>254</v>
      </c>
      <c r="B177" s="11" t="s">
        <v>823</v>
      </c>
      <c r="C177" s="12"/>
      <c r="D177" s="12"/>
      <c r="E177" s="12" t="s">
        <v>38</v>
      </c>
      <c r="F177" s="13">
        <v>33545</v>
      </c>
      <c r="G177" s="14" t="s">
        <v>39</v>
      </c>
      <c r="H177" s="11" t="s">
        <v>28</v>
      </c>
      <c r="I177" s="15">
        <v>1</v>
      </c>
      <c r="J177" s="13">
        <v>46326</v>
      </c>
      <c r="K177" s="16" t="s">
        <v>626</v>
      </c>
      <c r="L177" s="17" t="s">
        <v>74</v>
      </c>
      <c r="M177" s="18">
        <v>327.24</v>
      </c>
      <c r="N177" s="19">
        <f t="shared" si="4"/>
        <v>22.490512199664742</v>
      </c>
      <c r="O177" s="19">
        <f t="shared" si="5"/>
        <v>304.74948780033526</v>
      </c>
      <c r="P177" s="19">
        <f>O177*11%</f>
        <v>33.522443658036877</v>
      </c>
      <c r="S177" s="19"/>
      <c r="U177" s="19"/>
    </row>
    <row r="178" spans="1:21" s="20" customFormat="1" x14ac:dyDescent="0.2">
      <c r="A178" s="10">
        <v>122</v>
      </c>
      <c r="B178" s="11" t="s">
        <v>824</v>
      </c>
      <c r="C178" s="12"/>
      <c r="D178" s="12" t="s">
        <v>825</v>
      </c>
      <c r="E178" s="12" t="s">
        <v>788</v>
      </c>
      <c r="F178" s="13"/>
      <c r="G178" s="14" t="s">
        <v>789</v>
      </c>
      <c r="H178" s="11" t="s">
        <v>28</v>
      </c>
      <c r="I178" s="15">
        <v>0</v>
      </c>
      <c r="J178" s="13">
        <v>46329</v>
      </c>
      <c r="K178" s="16" t="s">
        <v>826</v>
      </c>
      <c r="L178" s="17" t="s">
        <v>827</v>
      </c>
      <c r="M178" s="18">
        <v>2262.4499999999998</v>
      </c>
      <c r="N178" s="19">
        <f t="shared" si="4"/>
        <v>155.4933972806854</v>
      </c>
      <c r="O178" s="19">
        <f t="shared" si="5"/>
        <v>2106.9566027193141</v>
      </c>
      <c r="P178" s="19">
        <f>O178*20%</f>
        <v>421.39132054386283</v>
      </c>
      <c r="S178" s="19"/>
      <c r="U178" s="19"/>
    </row>
    <row r="179" spans="1:21" s="20" customFormat="1" x14ac:dyDescent="0.2">
      <c r="A179" s="10">
        <v>125</v>
      </c>
      <c r="B179" s="11" t="s">
        <v>828</v>
      </c>
      <c r="C179" s="12"/>
      <c r="D179" s="12"/>
      <c r="E179" s="12" t="s">
        <v>225</v>
      </c>
      <c r="F179" s="13">
        <v>27070</v>
      </c>
      <c r="G179" s="14" t="s">
        <v>226</v>
      </c>
      <c r="H179" s="11" t="s">
        <v>204</v>
      </c>
      <c r="I179" s="15">
        <v>0</v>
      </c>
      <c r="J179" s="13">
        <v>46332</v>
      </c>
      <c r="K179" s="16" t="s">
        <v>228</v>
      </c>
      <c r="L179" s="17" t="s">
        <v>829</v>
      </c>
      <c r="M179" s="18">
        <v>989.31</v>
      </c>
      <c r="N179" s="19">
        <f t="shared" si="4"/>
        <v>67.993181225554096</v>
      </c>
      <c r="O179" s="19">
        <f t="shared" si="5"/>
        <v>921.31681877444578</v>
      </c>
      <c r="P179" s="19">
        <f>O179*20%</f>
        <v>184.26336375488916</v>
      </c>
      <c r="S179" s="19"/>
      <c r="U179" s="19"/>
    </row>
    <row r="180" spans="1:21" s="20" customFormat="1" x14ac:dyDescent="0.2">
      <c r="A180" s="10">
        <v>124</v>
      </c>
      <c r="B180" s="11" t="s">
        <v>830</v>
      </c>
      <c r="C180" s="12"/>
      <c r="D180" s="12" t="s">
        <v>831</v>
      </c>
      <c r="E180" s="12" t="s">
        <v>832</v>
      </c>
      <c r="F180" s="13">
        <v>29016</v>
      </c>
      <c r="G180" s="14" t="s">
        <v>833</v>
      </c>
      <c r="H180" s="11" t="s">
        <v>133</v>
      </c>
      <c r="I180" s="15">
        <v>0</v>
      </c>
      <c r="J180" s="13">
        <v>46332</v>
      </c>
      <c r="K180" s="16" t="s">
        <v>834</v>
      </c>
      <c r="L180" s="17" t="s">
        <v>835</v>
      </c>
      <c r="M180" s="18">
        <v>2265.69</v>
      </c>
      <c r="N180" s="19">
        <f t="shared" si="4"/>
        <v>155.71607561929596</v>
      </c>
      <c r="O180" s="19">
        <f t="shared" si="5"/>
        <v>2109.9739243807039</v>
      </c>
      <c r="P180" s="19">
        <f>O180*15%</f>
        <v>316.49608865710559</v>
      </c>
      <c r="S180" s="19"/>
      <c r="U180" s="19"/>
    </row>
    <row r="181" spans="1:21" s="20" customFormat="1" x14ac:dyDescent="0.2">
      <c r="A181" s="10">
        <v>126</v>
      </c>
      <c r="B181" s="11" t="s">
        <v>836</v>
      </c>
      <c r="C181" s="12" t="s">
        <v>837</v>
      </c>
      <c r="D181" s="12"/>
      <c r="E181" s="12" t="s">
        <v>146</v>
      </c>
      <c r="F181" s="13">
        <v>22574</v>
      </c>
      <c r="G181" s="14" t="s">
        <v>147</v>
      </c>
      <c r="H181" s="11" t="s">
        <v>57</v>
      </c>
      <c r="I181" s="15">
        <v>0</v>
      </c>
      <c r="J181" s="13">
        <v>46333</v>
      </c>
      <c r="K181" s="16" t="s">
        <v>148</v>
      </c>
      <c r="L181" s="17" t="s">
        <v>838</v>
      </c>
      <c r="M181" s="18">
        <v>2752.4</v>
      </c>
      <c r="N181" s="19">
        <f t="shared" si="4"/>
        <v>189.1666232073012</v>
      </c>
      <c r="O181" s="19">
        <f t="shared" si="5"/>
        <v>2563.2333767926989</v>
      </c>
      <c r="P181" s="19">
        <f>O181*20%</f>
        <v>512.64667535853982</v>
      </c>
      <c r="S181" s="19"/>
      <c r="U181" s="19"/>
    </row>
    <row r="182" spans="1:21" s="20" customFormat="1" x14ac:dyDescent="0.2">
      <c r="A182" s="20">
        <v>254</v>
      </c>
      <c r="B182" s="11" t="s">
        <v>839</v>
      </c>
      <c r="C182" s="12"/>
      <c r="D182" s="12" t="s">
        <v>840</v>
      </c>
      <c r="E182" s="12" t="s">
        <v>778</v>
      </c>
      <c r="F182" s="13">
        <v>24270</v>
      </c>
      <c r="G182" s="14" t="s">
        <v>779</v>
      </c>
      <c r="H182" s="11" t="s">
        <v>28</v>
      </c>
      <c r="I182" s="15">
        <v>0</v>
      </c>
      <c r="J182" s="13">
        <v>46334</v>
      </c>
      <c r="K182" s="16" t="s">
        <v>841</v>
      </c>
      <c r="L182" s="17" t="s">
        <v>842</v>
      </c>
      <c r="M182" s="18">
        <v>3099.17</v>
      </c>
      <c r="N182" s="19">
        <f t="shared" si="4"/>
        <v>212.999390948035</v>
      </c>
      <c r="O182" s="19">
        <f t="shared" si="5"/>
        <v>2886.1706090519647</v>
      </c>
      <c r="P182" s="19">
        <f>O182*10%</f>
        <v>288.61706090519647</v>
      </c>
      <c r="S182" s="19"/>
      <c r="U182" s="19"/>
    </row>
    <row r="183" spans="1:21" s="20" customFormat="1" x14ac:dyDescent="0.2">
      <c r="A183" s="10">
        <v>127</v>
      </c>
      <c r="B183" s="11" t="s">
        <v>843</v>
      </c>
      <c r="C183" s="12"/>
      <c r="D183" s="12" t="s">
        <v>844</v>
      </c>
      <c r="E183" s="12" t="s">
        <v>845</v>
      </c>
      <c r="F183" s="13">
        <v>26827</v>
      </c>
      <c r="G183" s="14" t="s">
        <v>846</v>
      </c>
      <c r="H183" s="11" t="s">
        <v>28</v>
      </c>
      <c r="I183" s="15">
        <v>0</v>
      </c>
      <c r="J183" s="13">
        <v>46335</v>
      </c>
      <c r="K183" s="16" t="s">
        <v>847</v>
      </c>
      <c r="L183" s="17" t="s">
        <v>848</v>
      </c>
      <c r="M183" s="18">
        <v>2970.81</v>
      </c>
      <c r="N183" s="19">
        <f t="shared" si="4"/>
        <v>204.17747997764945</v>
      </c>
      <c r="O183" s="19">
        <f t="shared" si="5"/>
        <v>2766.63252002235</v>
      </c>
      <c r="P183" s="19">
        <f>O183*25%</f>
        <v>691.65813000558751</v>
      </c>
      <c r="S183" s="19"/>
      <c r="U183" s="19"/>
    </row>
    <row r="184" spans="1:21" s="20" customFormat="1" x14ac:dyDescent="0.2">
      <c r="A184" s="10">
        <v>129</v>
      </c>
      <c r="B184" s="11" t="s">
        <v>849</v>
      </c>
      <c r="C184" s="12"/>
      <c r="D184" s="12"/>
      <c r="E184" s="12" t="s">
        <v>850</v>
      </c>
      <c r="F184" s="13">
        <v>25149</v>
      </c>
      <c r="G184" s="14" t="s">
        <v>851</v>
      </c>
      <c r="H184" s="11" t="s">
        <v>46</v>
      </c>
      <c r="I184" s="15">
        <v>0</v>
      </c>
      <c r="J184" s="13">
        <v>46337</v>
      </c>
      <c r="K184" s="16" t="s">
        <v>852</v>
      </c>
      <c r="L184" s="17" t="s">
        <v>853</v>
      </c>
      <c r="M184" s="18">
        <v>2437.4699999999998</v>
      </c>
      <c r="N184" s="19">
        <f t="shared" si="4"/>
        <v>167.5221512385919</v>
      </c>
      <c r="O184" s="19">
        <f t="shared" si="5"/>
        <v>2269.9478487614078</v>
      </c>
      <c r="P184" s="19">
        <f>O184*20%</f>
        <v>453.98956975228157</v>
      </c>
      <c r="S184" s="19"/>
      <c r="U184" s="19"/>
    </row>
    <row r="185" spans="1:21" s="20" customFormat="1" x14ac:dyDescent="0.2">
      <c r="A185" s="10">
        <v>130</v>
      </c>
      <c r="B185" s="11" t="s">
        <v>854</v>
      </c>
      <c r="C185" s="12"/>
      <c r="D185" s="12"/>
      <c r="E185" s="12" t="s">
        <v>855</v>
      </c>
      <c r="F185" s="13"/>
      <c r="G185" s="14" t="s">
        <v>856</v>
      </c>
      <c r="H185" s="11" t="s">
        <v>22</v>
      </c>
      <c r="I185" s="15">
        <v>2</v>
      </c>
      <c r="J185" s="13">
        <v>46337</v>
      </c>
      <c r="K185" s="16" t="s">
        <v>857</v>
      </c>
      <c r="L185" s="17" t="s">
        <v>69</v>
      </c>
      <c r="M185" s="18">
        <v>3401.73</v>
      </c>
      <c r="N185" s="19">
        <f t="shared" si="4"/>
        <v>233.79369901285153</v>
      </c>
      <c r="O185" s="19">
        <f t="shared" si="5"/>
        <v>3167.9363009871481</v>
      </c>
      <c r="P185" s="19">
        <f>O185*20%</f>
        <v>633.58726019742971</v>
      </c>
      <c r="S185" s="19"/>
      <c r="U185" s="19"/>
    </row>
    <row r="186" spans="1:21" s="20" customFormat="1" x14ac:dyDescent="0.2">
      <c r="A186" s="20">
        <v>255</v>
      </c>
      <c r="B186" s="11" t="s">
        <v>858</v>
      </c>
      <c r="C186" s="12"/>
      <c r="D186" s="12"/>
      <c r="E186" s="12" t="s">
        <v>120</v>
      </c>
      <c r="F186" s="13">
        <v>26611</v>
      </c>
      <c r="G186" s="14" t="s">
        <v>121</v>
      </c>
      <c r="H186" s="11" t="s">
        <v>22</v>
      </c>
      <c r="I186" s="15">
        <v>0</v>
      </c>
      <c r="J186" s="13">
        <v>46337</v>
      </c>
      <c r="K186" s="16" t="s">
        <v>122</v>
      </c>
      <c r="L186" s="17" t="s">
        <v>859</v>
      </c>
      <c r="M186" s="18">
        <v>3665.79</v>
      </c>
      <c r="N186" s="19">
        <f t="shared" si="4"/>
        <v>251.94198360961073</v>
      </c>
      <c r="O186" s="19">
        <f t="shared" si="5"/>
        <v>3413.8480163903891</v>
      </c>
      <c r="P186" s="19">
        <f>O186*15%</f>
        <v>512.0772024585583</v>
      </c>
      <c r="S186" s="19"/>
      <c r="U186" s="19"/>
    </row>
    <row r="187" spans="1:21" s="20" customFormat="1" x14ac:dyDescent="0.2">
      <c r="A187" s="20">
        <v>255</v>
      </c>
      <c r="B187" s="11" t="s">
        <v>860</v>
      </c>
      <c r="C187" s="12"/>
      <c r="D187" s="12"/>
      <c r="E187" s="12" t="s">
        <v>861</v>
      </c>
      <c r="F187" s="13">
        <v>29555</v>
      </c>
      <c r="G187" s="14" t="s">
        <v>862</v>
      </c>
      <c r="H187" s="11" t="s">
        <v>22</v>
      </c>
      <c r="I187" s="15">
        <v>0</v>
      </c>
      <c r="J187" s="13">
        <v>46338</v>
      </c>
      <c r="K187" s="16" t="s">
        <v>863</v>
      </c>
      <c r="L187" s="17" t="s">
        <v>864</v>
      </c>
      <c r="M187" s="18">
        <v>4939.58</v>
      </c>
      <c r="N187" s="19">
        <f t="shared" si="4"/>
        <v>339.48687278822871</v>
      </c>
      <c r="O187" s="19">
        <f t="shared" si="5"/>
        <v>4600.0931272117705</v>
      </c>
      <c r="P187" s="19">
        <f>O187*20%</f>
        <v>920.01862544235416</v>
      </c>
      <c r="S187" s="19"/>
      <c r="U187" s="19"/>
    </row>
    <row r="188" spans="1:21" s="20" customFormat="1" x14ac:dyDescent="0.2">
      <c r="A188" s="20">
        <v>256</v>
      </c>
      <c r="B188" s="11" t="s">
        <v>865</v>
      </c>
      <c r="C188" s="12"/>
      <c r="D188" s="12"/>
      <c r="E188" s="12" t="s">
        <v>866</v>
      </c>
      <c r="F188" s="13">
        <v>25576</v>
      </c>
      <c r="G188" s="14" t="s">
        <v>867</v>
      </c>
      <c r="H188" s="11" t="s">
        <v>28</v>
      </c>
      <c r="I188" s="15">
        <v>0</v>
      </c>
      <c r="J188" s="13">
        <v>46345</v>
      </c>
      <c r="K188" s="16" t="s">
        <v>868</v>
      </c>
      <c r="L188" s="17" t="s">
        <v>869</v>
      </c>
      <c r="M188" s="18">
        <v>2619.33</v>
      </c>
      <c r="N188" s="19">
        <f t="shared" si="4"/>
        <v>180.02100391134289</v>
      </c>
      <c r="O188" s="19">
        <f t="shared" si="5"/>
        <v>2439.3089960886568</v>
      </c>
      <c r="P188" s="19">
        <f>O188*10%</f>
        <v>243.9308996088657</v>
      </c>
      <c r="S188" s="19"/>
      <c r="U188" s="19"/>
    </row>
    <row r="189" spans="1:21" s="20" customFormat="1" x14ac:dyDescent="0.2">
      <c r="A189" s="10">
        <v>133</v>
      </c>
      <c r="B189" s="11" t="s">
        <v>870</v>
      </c>
      <c r="C189" s="12"/>
      <c r="D189" s="12"/>
      <c r="E189" s="12" t="s">
        <v>871</v>
      </c>
      <c r="F189" s="13">
        <v>25257</v>
      </c>
      <c r="G189" s="14" t="s">
        <v>872</v>
      </c>
      <c r="H189" s="11" t="s">
        <v>133</v>
      </c>
      <c r="I189" s="15">
        <v>1</v>
      </c>
      <c r="J189" s="13">
        <v>46347</v>
      </c>
      <c r="K189" s="16" t="s">
        <v>873</v>
      </c>
      <c r="L189" s="17" t="s">
        <v>74</v>
      </c>
      <c r="M189" s="18">
        <v>1849.85</v>
      </c>
      <c r="N189" s="19">
        <f t="shared" si="4"/>
        <v>127.1362730489849</v>
      </c>
      <c r="O189" s="19">
        <f t="shared" si="5"/>
        <v>1722.7137269510149</v>
      </c>
      <c r="P189" s="19">
        <f>O189*15%</f>
        <v>258.40705904265224</v>
      </c>
      <c r="S189" s="19"/>
      <c r="U189" s="19"/>
    </row>
    <row r="190" spans="1:21" s="20" customFormat="1" x14ac:dyDescent="0.2">
      <c r="A190" s="10">
        <v>134</v>
      </c>
      <c r="B190" s="11" t="s">
        <v>874</v>
      </c>
      <c r="C190" s="12"/>
      <c r="D190" s="12"/>
      <c r="E190" s="12" t="s">
        <v>558</v>
      </c>
      <c r="F190" s="13">
        <v>29916</v>
      </c>
      <c r="G190" s="14" t="s">
        <v>177</v>
      </c>
      <c r="H190" s="11" t="s">
        <v>133</v>
      </c>
      <c r="I190" s="15">
        <v>1</v>
      </c>
      <c r="J190" s="13">
        <v>46349</v>
      </c>
      <c r="K190" s="16" t="s">
        <v>562</v>
      </c>
      <c r="L190" s="17" t="s">
        <v>74</v>
      </c>
      <c r="M190" s="18">
        <v>1515.6</v>
      </c>
      <c r="N190" s="19">
        <f t="shared" si="4"/>
        <v>104.16397839448686</v>
      </c>
      <c r="O190" s="19">
        <f t="shared" si="5"/>
        <v>1411.4360216055129</v>
      </c>
      <c r="P190" s="19">
        <f>O190*10%</f>
        <v>141.1436021605513</v>
      </c>
      <c r="S190" s="19"/>
      <c r="U190" s="19"/>
    </row>
    <row r="191" spans="1:21" s="20" customFormat="1" x14ac:dyDescent="0.2">
      <c r="A191" s="20">
        <v>257</v>
      </c>
      <c r="B191" s="11" t="s">
        <v>875</v>
      </c>
      <c r="C191" s="12"/>
      <c r="D191" s="12"/>
      <c r="E191" s="12" t="s">
        <v>363</v>
      </c>
      <c r="F191" s="13">
        <v>21280</v>
      </c>
      <c r="G191" s="14" t="s">
        <v>364</v>
      </c>
      <c r="H191" s="11" t="s">
        <v>34</v>
      </c>
      <c r="I191" s="15">
        <v>0</v>
      </c>
      <c r="J191" s="13">
        <v>46354</v>
      </c>
      <c r="K191" s="16" t="s">
        <v>194</v>
      </c>
      <c r="L191" s="17" t="s">
        <v>876</v>
      </c>
      <c r="M191" s="18">
        <v>1968.43</v>
      </c>
      <c r="N191" s="19">
        <f t="shared" si="4"/>
        <v>135.2860253306016</v>
      </c>
      <c r="O191" s="19">
        <f t="shared" si="5"/>
        <v>1833.1439746693984</v>
      </c>
      <c r="P191" s="19">
        <f>O191*20%</f>
        <v>366.6287949338797</v>
      </c>
      <c r="S191" s="19"/>
      <c r="U191" s="19"/>
    </row>
    <row r="192" spans="1:21" s="20" customFormat="1" x14ac:dyDescent="0.2">
      <c r="A192" s="10">
        <v>135</v>
      </c>
      <c r="B192" s="11" t="s">
        <v>877</v>
      </c>
      <c r="C192" s="12"/>
      <c r="D192" s="12"/>
      <c r="E192" s="12" t="s">
        <v>567</v>
      </c>
      <c r="F192" s="13">
        <v>23062</v>
      </c>
      <c r="G192" s="14" t="s">
        <v>878</v>
      </c>
      <c r="H192" s="11" t="s">
        <v>204</v>
      </c>
      <c r="I192" s="15">
        <v>6</v>
      </c>
      <c r="J192" s="13">
        <v>46357</v>
      </c>
      <c r="K192" s="16" t="s">
        <v>569</v>
      </c>
      <c r="L192" s="17" t="s">
        <v>879</v>
      </c>
      <c r="M192" s="18">
        <v>405.11</v>
      </c>
      <c r="N192" s="19">
        <f t="shared" si="4"/>
        <v>27.842352393369342</v>
      </c>
      <c r="O192" s="19">
        <f t="shared" si="5"/>
        <v>377.26764760663065</v>
      </c>
      <c r="P192" s="19">
        <f>O192*30%</f>
        <v>113.18029428198919</v>
      </c>
      <c r="S192" s="19"/>
      <c r="U192" s="19"/>
    </row>
    <row r="193" spans="1:21" s="20" customFormat="1" x14ac:dyDescent="0.2">
      <c r="A193" s="10">
        <v>136</v>
      </c>
      <c r="B193" s="11" t="s">
        <v>880</v>
      </c>
      <c r="C193" s="12"/>
      <c r="D193" s="12"/>
      <c r="E193" s="12" t="s">
        <v>881</v>
      </c>
      <c r="F193" s="13">
        <v>27348</v>
      </c>
      <c r="G193" s="14" t="s">
        <v>882</v>
      </c>
      <c r="H193" s="11" t="s">
        <v>297</v>
      </c>
      <c r="I193" s="15">
        <v>0</v>
      </c>
      <c r="J193" s="13">
        <v>46358</v>
      </c>
      <c r="K193" s="16" t="s">
        <v>883</v>
      </c>
      <c r="L193" s="17" t="s">
        <v>884</v>
      </c>
      <c r="M193" s="18">
        <v>2461.35</v>
      </c>
      <c r="N193" s="19">
        <f t="shared" si="4"/>
        <v>169.16337306761037</v>
      </c>
      <c r="O193" s="19">
        <f t="shared" si="5"/>
        <v>2292.1866269323896</v>
      </c>
      <c r="P193" s="19">
        <f>O193*20%</f>
        <v>458.43732538647794</v>
      </c>
      <c r="S193" s="19"/>
      <c r="U193" s="19"/>
    </row>
    <row r="194" spans="1:21" s="20" customFormat="1" x14ac:dyDescent="0.2">
      <c r="A194" s="10">
        <v>137</v>
      </c>
      <c r="B194" s="11" t="s">
        <v>885</v>
      </c>
      <c r="C194" s="12" t="s">
        <v>886</v>
      </c>
      <c r="D194" s="12"/>
      <c r="E194" s="12" t="s">
        <v>887</v>
      </c>
      <c r="F194" s="13">
        <v>28877</v>
      </c>
      <c r="G194" s="14" t="s">
        <v>888</v>
      </c>
      <c r="H194" s="11" t="s">
        <v>133</v>
      </c>
      <c r="I194" s="15">
        <v>0</v>
      </c>
      <c r="J194" s="13">
        <v>46359</v>
      </c>
      <c r="K194" s="16" t="s">
        <v>889</v>
      </c>
      <c r="L194" s="17" t="s">
        <v>890</v>
      </c>
      <c r="M194" s="18">
        <v>8416.61</v>
      </c>
      <c r="N194" s="19">
        <f t="shared" ref="N194:N257" si="6">O194*Q$1</f>
        <v>578.4557813373068</v>
      </c>
      <c r="O194" s="19">
        <f t="shared" ref="O194:O257" si="7">M194/(1+$Q$1)</f>
        <v>7838.154218662693</v>
      </c>
      <c r="P194" s="19">
        <f>O194*18%</f>
        <v>1410.8677593592847</v>
      </c>
      <c r="S194" s="19"/>
      <c r="U194" s="19"/>
    </row>
    <row r="195" spans="1:21" s="20" customFormat="1" x14ac:dyDescent="0.2">
      <c r="A195" s="10">
        <v>166</v>
      </c>
      <c r="B195" s="11" t="s">
        <v>891</v>
      </c>
      <c r="C195" s="12">
        <v>4133492238</v>
      </c>
      <c r="D195" s="12"/>
      <c r="E195" s="12" t="s">
        <v>316</v>
      </c>
      <c r="F195" s="13">
        <v>27099</v>
      </c>
      <c r="G195" s="14" t="s">
        <v>892</v>
      </c>
      <c r="H195" s="11" t="s">
        <v>359</v>
      </c>
      <c r="I195" s="15">
        <v>0</v>
      </c>
      <c r="J195" s="13">
        <v>46359</v>
      </c>
      <c r="K195" s="16" t="s">
        <v>893</v>
      </c>
      <c r="L195" s="17" t="s">
        <v>894</v>
      </c>
      <c r="M195" s="18">
        <v>6470.53</v>
      </c>
      <c r="N195" s="19">
        <f t="shared" si="6"/>
        <v>444.70582417582415</v>
      </c>
      <c r="O195" s="19">
        <f t="shared" si="7"/>
        <v>6025.8241758241747</v>
      </c>
      <c r="P195" s="19">
        <f>O195*10%</f>
        <v>602.58241758241752</v>
      </c>
      <c r="S195" s="19"/>
      <c r="U195" s="19"/>
    </row>
    <row r="196" spans="1:21" s="20" customFormat="1" x14ac:dyDescent="0.2">
      <c r="A196" s="20">
        <v>258</v>
      </c>
      <c r="B196" s="11" t="s">
        <v>895</v>
      </c>
      <c r="C196" s="12"/>
      <c r="D196" s="12"/>
      <c r="E196" s="12" t="s">
        <v>896</v>
      </c>
      <c r="F196" s="13">
        <v>29745</v>
      </c>
      <c r="G196" s="14" t="s">
        <v>897</v>
      </c>
      <c r="H196" s="11" t="s">
        <v>359</v>
      </c>
      <c r="I196" s="15">
        <v>0</v>
      </c>
      <c r="J196" s="13">
        <v>46360</v>
      </c>
      <c r="K196" s="16" t="s">
        <v>898</v>
      </c>
      <c r="L196" s="17" t="s">
        <v>899</v>
      </c>
      <c r="M196" s="18">
        <v>3081.52</v>
      </c>
      <c r="N196" s="19">
        <f t="shared" si="6"/>
        <v>211.78634382566588</v>
      </c>
      <c r="O196" s="19">
        <f t="shared" si="7"/>
        <v>2869.7336561743341</v>
      </c>
      <c r="P196" s="19">
        <f>O196*19%</f>
        <v>545.24939467312345</v>
      </c>
      <c r="S196" s="19"/>
      <c r="U196" s="19"/>
    </row>
    <row r="197" spans="1:21" s="20" customFormat="1" x14ac:dyDescent="0.2">
      <c r="A197" s="20">
        <v>258</v>
      </c>
      <c r="B197" s="11" t="s">
        <v>900</v>
      </c>
      <c r="C197" s="12"/>
      <c r="D197" s="12"/>
      <c r="E197" s="12" t="s">
        <v>316</v>
      </c>
      <c r="F197" s="13">
        <v>30924</v>
      </c>
      <c r="G197" s="14" t="s">
        <v>56</v>
      </c>
      <c r="H197" s="11" t="s">
        <v>22</v>
      </c>
      <c r="I197" s="15">
        <v>0</v>
      </c>
      <c r="J197" s="13">
        <v>46361</v>
      </c>
      <c r="K197" s="16" t="s">
        <v>901</v>
      </c>
      <c r="L197" s="17" t="s">
        <v>902</v>
      </c>
      <c r="M197" s="18">
        <v>4176.28</v>
      </c>
      <c r="N197" s="19">
        <f t="shared" si="6"/>
        <v>287.02688023840568</v>
      </c>
      <c r="O197" s="19">
        <f t="shared" si="7"/>
        <v>3889.253119761594</v>
      </c>
      <c r="P197" s="19">
        <f>O197*10%</f>
        <v>388.92531197615943</v>
      </c>
      <c r="S197" s="19"/>
      <c r="U197" s="19"/>
    </row>
    <row r="198" spans="1:21" s="20" customFormat="1" x14ac:dyDescent="0.2">
      <c r="A198" s="10">
        <v>138</v>
      </c>
      <c r="B198" s="11" t="s">
        <v>903</v>
      </c>
      <c r="C198" s="12"/>
      <c r="D198" s="12" t="s">
        <v>904</v>
      </c>
      <c r="E198" s="12" t="s">
        <v>654</v>
      </c>
      <c r="F198" s="13">
        <v>35023</v>
      </c>
      <c r="G198" s="14" t="s">
        <v>641</v>
      </c>
      <c r="H198" s="11" t="s">
        <v>359</v>
      </c>
      <c r="I198" s="15">
        <v>0</v>
      </c>
      <c r="J198" s="13">
        <v>46361</v>
      </c>
      <c r="K198" s="16" t="s">
        <v>655</v>
      </c>
      <c r="L198" s="17" t="s">
        <v>905</v>
      </c>
      <c r="M198" s="18">
        <v>2917.88</v>
      </c>
      <c r="N198" s="19">
        <f t="shared" si="6"/>
        <v>200.53971316818775</v>
      </c>
      <c r="O198" s="19">
        <f t="shared" si="7"/>
        <v>2717.3402868318121</v>
      </c>
      <c r="P198" s="19">
        <f>O198*20%</f>
        <v>543.46805736636247</v>
      </c>
      <c r="S198" s="19"/>
      <c r="U198" s="19"/>
    </row>
    <row r="199" spans="1:21" s="20" customFormat="1" x14ac:dyDescent="0.2">
      <c r="A199" s="10">
        <v>139</v>
      </c>
      <c r="B199" s="11" t="s">
        <v>906</v>
      </c>
      <c r="C199" s="12"/>
      <c r="D199" s="12"/>
      <c r="E199" s="12" t="s">
        <v>89</v>
      </c>
      <c r="F199" s="13">
        <v>25953</v>
      </c>
      <c r="G199" s="14" t="s">
        <v>90</v>
      </c>
      <c r="H199" s="11" t="s">
        <v>40</v>
      </c>
      <c r="I199" s="15">
        <v>1</v>
      </c>
      <c r="J199" s="13">
        <v>46362</v>
      </c>
      <c r="K199" s="16" t="s">
        <v>236</v>
      </c>
      <c r="L199" s="17" t="s">
        <v>74</v>
      </c>
      <c r="M199" s="18">
        <v>1080.71</v>
      </c>
      <c r="N199" s="19">
        <f t="shared" si="6"/>
        <v>74.274909666604586</v>
      </c>
      <c r="O199" s="19">
        <f t="shared" si="7"/>
        <v>1006.4350903333954</v>
      </c>
      <c r="P199" s="19">
        <f>O199*25%</f>
        <v>251.60877258334884</v>
      </c>
      <c r="S199" s="19"/>
      <c r="U199" s="19"/>
    </row>
    <row r="200" spans="1:21" s="20" customFormat="1" x14ac:dyDescent="0.2">
      <c r="A200" s="10">
        <v>142</v>
      </c>
      <c r="B200" s="11" t="s">
        <v>907</v>
      </c>
      <c r="C200" s="12"/>
      <c r="D200" s="12"/>
      <c r="E200" s="12" t="s">
        <v>38</v>
      </c>
      <c r="F200" s="13">
        <v>33545</v>
      </c>
      <c r="G200" s="14" t="s">
        <v>39</v>
      </c>
      <c r="H200" s="11" t="s">
        <v>28</v>
      </c>
      <c r="I200" s="15">
        <v>1</v>
      </c>
      <c r="J200" s="13">
        <v>46363</v>
      </c>
      <c r="K200" s="16" t="s">
        <v>626</v>
      </c>
      <c r="L200" s="17" t="s">
        <v>74</v>
      </c>
      <c r="M200" s="18">
        <v>554.54</v>
      </c>
      <c r="N200" s="19">
        <f t="shared" si="6"/>
        <v>38.11235984354628</v>
      </c>
      <c r="O200" s="19">
        <f t="shared" si="7"/>
        <v>516.42764015645366</v>
      </c>
      <c r="P200" s="19">
        <f>O200*25%</f>
        <v>129.10691003911342</v>
      </c>
      <c r="S200" s="19"/>
      <c r="U200" s="19"/>
    </row>
    <row r="201" spans="1:21" s="20" customFormat="1" x14ac:dyDescent="0.2">
      <c r="A201" s="10">
        <v>141</v>
      </c>
      <c r="B201" s="11" t="s">
        <v>908</v>
      </c>
      <c r="C201" s="12"/>
      <c r="D201" s="12"/>
      <c r="E201" s="12" t="s">
        <v>909</v>
      </c>
      <c r="F201" s="13">
        <v>27418</v>
      </c>
      <c r="G201" s="14" t="s">
        <v>910</v>
      </c>
      <c r="H201" s="11" t="s">
        <v>34</v>
      </c>
      <c r="I201" s="15">
        <v>0</v>
      </c>
      <c r="J201" s="13">
        <v>46363</v>
      </c>
      <c r="K201" s="16" t="s">
        <v>911</v>
      </c>
      <c r="L201" s="17" t="s">
        <v>912</v>
      </c>
      <c r="M201" s="18">
        <v>1996.29</v>
      </c>
      <c r="N201" s="19">
        <f t="shared" si="6"/>
        <v>137.2007841311231</v>
      </c>
      <c r="O201" s="19">
        <f t="shared" si="7"/>
        <v>1859.0892158688766</v>
      </c>
      <c r="P201" s="19">
        <f t="shared" ref="P201:P206" si="8">O201*20%</f>
        <v>371.81784317377537</v>
      </c>
      <c r="S201" s="19"/>
      <c r="U201" s="19"/>
    </row>
    <row r="202" spans="1:21" s="20" customFormat="1" x14ac:dyDescent="0.2">
      <c r="A202" s="10">
        <v>140</v>
      </c>
      <c r="B202" s="11" t="s">
        <v>913</v>
      </c>
      <c r="C202" s="12" t="s">
        <v>914</v>
      </c>
      <c r="D202" s="12"/>
      <c r="E202" s="12" t="s">
        <v>871</v>
      </c>
      <c r="F202" s="13">
        <v>25257</v>
      </c>
      <c r="G202" s="14" t="s">
        <v>872</v>
      </c>
      <c r="H202" s="11" t="s">
        <v>28</v>
      </c>
      <c r="I202" s="15">
        <v>0</v>
      </c>
      <c r="J202" s="13">
        <v>46363</v>
      </c>
      <c r="K202" s="16" t="s">
        <v>873</v>
      </c>
      <c r="L202" s="17" t="s">
        <v>915</v>
      </c>
      <c r="M202" s="18">
        <v>5798.92</v>
      </c>
      <c r="N202" s="19">
        <f t="shared" si="6"/>
        <v>398.54749115291486</v>
      </c>
      <c r="O202" s="19">
        <f t="shared" si="7"/>
        <v>5400.3725088470846</v>
      </c>
      <c r="P202" s="19">
        <f t="shared" si="8"/>
        <v>1080.0745017694169</v>
      </c>
      <c r="S202" s="19"/>
      <c r="U202" s="19"/>
    </row>
    <row r="203" spans="1:21" s="20" customFormat="1" x14ac:dyDescent="0.2">
      <c r="A203" s="10">
        <v>145</v>
      </c>
      <c r="B203" s="11" t="s">
        <v>916</v>
      </c>
      <c r="C203" s="12" t="s">
        <v>747</v>
      </c>
      <c r="D203" s="12"/>
      <c r="E203" s="12" t="s">
        <v>748</v>
      </c>
      <c r="F203" s="13">
        <v>27585</v>
      </c>
      <c r="G203" s="14" t="s">
        <v>749</v>
      </c>
      <c r="H203" s="11" t="s">
        <v>28</v>
      </c>
      <c r="I203" s="15">
        <v>1</v>
      </c>
      <c r="J203" s="13">
        <v>46366</v>
      </c>
      <c r="K203" s="16" t="s">
        <v>917</v>
      </c>
      <c r="L203" s="17" t="s">
        <v>74</v>
      </c>
      <c r="M203" s="18">
        <v>1120.46</v>
      </c>
      <c r="N203" s="19">
        <f t="shared" si="6"/>
        <v>77.006842987520969</v>
      </c>
      <c r="O203" s="19">
        <f t="shared" si="7"/>
        <v>1043.4531570124791</v>
      </c>
      <c r="P203" s="19">
        <f t="shared" si="8"/>
        <v>208.69063140249582</v>
      </c>
      <c r="S203" s="19"/>
      <c r="U203" s="19"/>
    </row>
    <row r="204" spans="1:21" s="20" customFormat="1" x14ac:dyDescent="0.2">
      <c r="A204" s="10">
        <v>143</v>
      </c>
      <c r="B204" s="11" t="s">
        <v>918</v>
      </c>
      <c r="C204" s="12" t="s">
        <v>919</v>
      </c>
      <c r="D204" s="12"/>
      <c r="E204" s="12" t="s">
        <v>919</v>
      </c>
      <c r="F204" s="13">
        <v>30209</v>
      </c>
      <c r="G204" s="14" t="s">
        <v>920</v>
      </c>
      <c r="H204" s="11" t="s">
        <v>22</v>
      </c>
      <c r="I204" s="15">
        <v>0</v>
      </c>
      <c r="J204" s="13">
        <v>46366</v>
      </c>
      <c r="K204" s="16" t="s">
        <v>921</v>
      </c>
      <c r="L204" s="17" t="s">
        <v>922</v>
      </c>
      <c r="M204" s="18">
        <v>1785.36</v>
      </c>
      <c r="N204" s="19">
        <f t="shared" si="6"/>
        <v>122.70401192028311</v>
      </c>
      <c r="O204" s="19">
        <f t="shared" si="7"/>
        <v>1662.6559880797167</v>
      </c>
      <c r="P204" s="19">
        <f t="shared" si="8"/>
        <v>332.53119761594337</v>
      </c>
      <c r="S204" s="19"/>
      <c r="U204" s="19"/>
    </row>
    <row r="205" spans="1:21" s="20" customFormat="1" x14ac:dyDescent="0.2">
      <c r="A205" s="10">
        <v>146</v>
      </c>
      <c r="B205" s="11" t="s">
        <v>923</v>
      </c>
      <c r="C205" s="12"/>
      <c r="D205" s="12"/>
      <c r="E205" s="12" t="s">
        <v>924</v>
      </c>
      <c r="F205" s="13">
        <v>29843</v>
      </c>
      <c r="G205" s="14" t="s">
        <v>925</v>
      </c>
      <c r="H205" s="11" t="s">
        <v>359</v>
      </c>
      <c r="I205" s="15">
        <v>0</v>
      </c>
      <c r="J205" s="13">
        <v>46367</v>
      </c>
      <c r="K205" s="16" t="s">
        <v>926</v>
      </c>
      <c r="L205" s="17" t="s">
        <v>927</v>
      </c>
      <c r="M205" s="18">
        <v>4610.76</v>
      </c>
      <c r="N205" s="19">
        <f t="shared" si="6"/>
        <v>316.88777053455021</v>
      </c>
      <c r="O205" s="19">
        <f t="shared" si="7"/>
        <v>4293.8722294654499</v>
      </c>
      <c r="P205" s="19">
        <f t="shared" si="8"/>
        <v>858.77444589309005</v>
      </c>
      <c r="S205" s="19"/>
      <c r="U205" s="19"/>
    </row>
    <row r="206" spans="1:21" s="20" customFormat="1" x14ac:dyDescent="0.2">
      <c r="A206" s="10">
        <v>147</v>
      </c>
      <c r="B206" s="11" t="s">
        <v>928</v>
      </c>
      <c r="C206" s="12" t="s">
        <v>929</v>
      </c>
      <c r="D206" s="12"/>
      <c r="E206" s="12" t="s">
        <v>930</v>
      </c>
      <c r="F206" s="13">
        <v>21930</v>
      </c>
      <c r="G206" s="14" t="s">
        <v>931</v>
      </c>
      <c r="H206" s="11" t="s">
        <v>204</v>
      </c>
      <c r="I206" s="15">
        <v>0</v>
      </c>
      <c r="J206" s="13">
        <v>46368</v>
      </c>
      <c r="K206" s="16" t="s">
        <v>932</v>
      </c>
      <c r="L206" s="17" t="s">
        <v>933</v>
      </c>
      <c r="M206" s="18">
        <v>2961.39</v>
      </c>
      <c r="N206" s="19">
        <f t="shared" si="6"/>
        <v>203.53006332650401</v>
      </c>
      <c r="O206" s="19">
        <f t="shared" si="7"/>
        <v>2757.8599366734957</v>
      </c>
      <c r="P206" s="19">
        <f t="shared" si="8"/>
        <v>551.5719873346992</v>
      </c>
      <c r="S206" s="19"/>
      <c r="U206" s="19"/>
    </row>
    <row r="207" spans="1:21" s="20" customFormat="1" x14ac:dyDescent="0.2">
      <c r="A207" s="10">
        <v>148</v>
      </c>
      <c r="B207" s="11" t="s">
        <v>934</v>
      </c>
      <c r="C207" s="12"/>
      <c r="D207" s="12"/>
      <c r="E207" s="12" t="s">
        <v>935</v>
      </c>
      <c r="F207" s="13">
        <v>31145</v>
      </c>
      <c r="G207" s="14" t="s">
        <v>936</v>
      </c>
      <c r="H207" s="11" t="s">
        <v>22</v>
      </c>
      <c r="I207" s="15">
        <v>1</v>
      </c>
      <c r="J207" s="13">
        <v>46370</v>
      </c>
      <c r="K207" s="16" t="s">
        <v>937</v>
      </c>
      <c r="L207" s="17" t="s">
        <v>74</v>
      </c>
      <c r="M207" s="18">
        <v>1754.76</v>
      </c>
      <c r="N207" s="19">
        <f t="shared" si="6"/>
        <v>120.60093872229464</v>
      </c>
      <c r="O207" s="19">
        <f t="shared" si="7"/>
        <v>1634.1590612777052</v>
      </c>
      <c r="P207" s="19">
        <f>O207*30%</f>
        <v>490.24771838331151</v>
      </c>
      <c r="S207" s="19"/>
      <c r="U207" s="19"/>
    </row>
    <row r="208" spans="1:21" s="20" customFormat="1" x14ac:dyDescent="0.2">
      <c r="A208" s="20">
        <v>258</v>
      </c>
      <c r="B208" s="11" t="s">
        <v>938</v>
      </c>
      <c r="C208" s="12"/>
      <c r="D208" s="12"/>
      <c r="E208" s="12" t="s">
        <v>939</v>
      </c>
      <c r="F208" s="13">
        <v>17821</v>
      </c>
      <c r="G208" s="14" t="s">
        <v>940</v>
      </c>
      <c r="H208" s="11" t="s">
        <v>28</v>
      </c>
      <c r="I208" s="15">
        <v>1</v>
      </c>
      <c r="J208" s="13">
        <v>46371</v>
      </c>
      <c r="K208" s="16" t="s">
        <v>941</v>
      </c>
      <c r="L208" s="17" t="s">
        <v>74</v>
      </c>
      <c r="M208" s="18">
        <v>1263.08</v>
      </c>
      <c r="N208" s="19">
        <f t="shared" si="6"/>
        <v>86.808813559322033</v>
      </c>
      <c r="O208" s="19">
        <f t="shared" si="7"/>
        <v>1176.2711864406779</v>
      </c>
      <c r="P208" s="19">
        <f>O208*10%</f>
        <v>117.62711864406779</v>
      </c>
      <c r="S208" s="19"/>
      <c r="U208" s="19"/>
    </row>
    <row r="209" spans="1:21" s="20" customFormat="1" x14ac:dyDescent="0.2">
      <c r="A209" s="20">
        <v>259</v>
      </c>
      <c r="B209" s="11" t="s">
        <v>942</v>
      </c>
      <c r="C209" s="12"/>
      <c r="D209" s="12"/>
      <c r="E209" s="12" t="s">
        <v>943</v>
      </c>
      <c r="F209" s="13">
        <v>29628</v>
      </c>
      <c r="G209" s="14" t="s">
        <v>944</v>
      </c>
      <c r="H209" s="11" t="s">
        <v>297</v>
      </c>
      <c r="I209" s="15">
        <v>0</v>
      </c>
      <c r="J209" s="13">
        <v>46374</v>
      </c>
      <c r="K209" s="16" t="s">
        <v>945</v>
      </c>
      <c r="L209" s="17" t="s">
        <v>311</v>
      </c>
      <c r="M209" s="18">
        <v>2684.33</v>
      </c>
      <c r="N209" s="19">
        <f t="shared" si="6"/>
        <v>184.48831626001117</v>
      </c>
      <c r="O209" s="19">
        <f t="shared" si="7"/>
        <v>2499.8416837399886</v>
      </c>
      <c r="P209" s="19">
        <f>O209*10%</f>
        <v>249.98416837399887</v>
      </c>
      <c r="S209" s="19"/>
      <c r="U209" s="19"/>
    </row>
    <row r="210" spans="1:21" s="20" customFormat="1" x14ac:dyDescent="0.2">
      <c r="A210" s="10">
        <v>150</v>
      </c>
      <c r="B210" s="11" t="s">
        <v>946</v>
      </c>
      <c r="C210" s="12"/>
      <c r="D210" s="12"/>
      <c r="E210" s="12" t="s">
        <v>788</v>
      </c>
      <c r="F210" s="13">
        <v>27416</v>
      </c>
      <c r="G210" s="14" t="s">
        <v>947</v>
      </c>
      <c r="H210" s="11" t="s">
        <v>46</v>
      </c>
      <c r="I210" s="15">
        <v>0</v>
      </c>
      <c r="J210" s="13">
        <v>46375</v>
      </c>
      <c r="K210" s="16" t="s">
        <v>948</v>
      </c>
      <c r="L210" s="17" t="s">
        <v>949</v>
      </c>
      <c r="M210" s="18">
        <v>2024.83</v>
      </c>
      <c r="N210" s="19">
        <f t="shared" si="6"/>
        <v>139.16227789159993</v>
      </c>
      <c r="O210" s="19">
        <f t="shared" si="7"/>
        <v>1885.6677221083999</v>
      </c>
      <c r="P210" s="19">
        <f>O210*20%</f>
        <v>377.13354442167997</v>
      </c>
      <c r="S210" s="19"/>
      <c r="U210" s="19"/>
    </row>
    <row r="211" spans="1:21" s="20" customFormat="1" x14ac:dyDescent="0.2">
      <c r="A211" s="10">
        <v>151</v>
      </c>
      <c r="B211" s="11" t="s">
        <v>950</v>
      </c>
      <c r="C211" s="12"/>
      <c r="D211" s="12" t="s">
        <v>951</v>
      </c>
      <c r="E211" s="12" t="s">
        <v>952</v>
      </c>
      <c r="F211" s="13">
        <v>26557</v>
      </c>
      <c r="G211" s="14" t="s">
        <v>953</v>
      </c>
      <c r="H211" s="11" t="s">
        <v>28</v>
      </c>
      <c r="I211" s="15">
        <v>0</v>
      </c>
      <c r="J211" s="13">
        <v>46378</v>
      </c>
      <c r="K211" s="16" t="s">
        <v>954</v>
      </c>
      <c r="L211" s="17" t="s">
        <v>955</v>
      </c>
      <c r="M211" s="18">
        <v>2335.5700000000002</v>
      </c>
      <c r="N211" s="19">
        <f t="shared" si="6"/>
        <v>160.51878003352579</v>
      </c>
      <c r="O211" s="19">
        <f t="shared" si="7"/>
        <v>2175.051219966474</v>
      </c>
      <c r="P211" s="19">
        <f>O211*20%</f>
        <v>435.01024399329481</v>
      </c>
      <c r="S211" s="19"/>
      <c r="U211" s="19"/>
    </row>
    <row r="212" spans="1:21" s="20" customFormat="1" x14ac:dyDescent="0.2">
      <c r="A212" s="10">
        <v>152</v>
      </c>
      <c r="B212" s="11" t="s">
        <v>956</v>
      </c>
      <c r="C212" s="12"/>
      <c r="D212" s="12"/>
      <c r="E212" s="12" t="s">
        <v>957</v>
      </c>
      <c r="F212" s="13">
        <v>32773</v>
      </c>
      <c r="G212" s="14" t="s">
        <v>958</v>
      </c>
      <c r="H212" s="11" t="s">
        <v>40</v>
      </c>
      <c r="I212" s="15">
        <v>4</v>
      </c>
      <c r="J212" s="13">
        <v>46385</v>
      </c>
      <c r="K212" s="16" t="s">
        <v>959</v>
      </c>
      <c r="L212" s="17" t="s">
        <v>960</v>
      </c>
      <c r="M212" s="18">
        <v>1026.28</v>
      </c>
      <c r="N212" s="19">
        <f t="shared" si="6"/>
        <v>70.534051033712046</v>
      </c>
      <c r="O212" s="19">
        <f t="shared" si="7"/>
        <v>955.74594896628787</v>
      </c>
      <c r="P212" s="19">
        <f>O212*20%</f>
        <v>191.14918979325759</v>
      </c>
      <c r="S212" s="19"/>
      <c r="U212" s="19"/>
    </row>
    <row r="213" spans="1:21" s="20" customFormat="1" x14ac:dyDescent="0.2">
      <c r="A213" s="10">
        <v>153</v>
      </c>
      <c r="B213" s="11" t="s">
        <v>961</v>
      </c>
      <c r="C213" s="12"/>
      <c r="D213" s="12"/>
      <c r="E213" s="12" t="s">
        <v>962</v>
      </c>
      <c r="F213" s="13">
        <v>29997</v>
      </c>
      <c r="G213" s="14" t="s">
        <v>963</v>
      </c>
      <c r="H213" s="11" t="s">
        <v>28</v>
      </c>
      <c r="I213" s="15">
        <v>0</v>
      </c>
      <c r="J213" s="13">
        <v>46389</v>
      </c>
      <c r="K213" s="16" t="s">
        <v>964</v>
      </c>
      <c r="L213" s="17" t="s">
        <v>965</v>
      </c>
      <c r="M213" s="18">
        <v>3868.61</v>
      </c>
      <c r="N213" s="19">
        <f t="shared" si="6"/>
        <v>265.8813726951015</v>
      </c>
      <c r="O213" s="19">
        <f t="shared" si="7"/>
        <v>3602.7286273048985</v>
      </c>
      <c r="P213" s="19">
        <f>O213*15%</f>
        <v>540.40929409573471</v>
      </c>
      <c r="S213" s="19"/>
      <c r="U213" s="19"/>
    </row>
    <row r="214" spans="1:21" s="20" customFormat="1" x14ac:dyDescent="0.2">
      <c r="A214" s="10">
        <v>154</v>
      </c>
      <c r="B214" s="11" t="s">
        <v>966</v>
      </c>
      <c r="C214" s="12"/>
      <c r="D214" s="12"/>
      <c r="E214" s="12" t="s">
        <v>967</v>
      </c>
      <c r="F214" s="13">
        <v>30403</v>
      </c>
      <c r="G214" s="14" t="s">
        <v>368</v>
      </c>
      <c r="H214" s="11" t="s">
        <v>46</v>
      </c>
      <c r="I214" s="15">
        <v>1</v>
      </c>
      <c r="J214" s="13">
        <v>46389</v>
      </c>
      <c r="K214" s="16" t="s">
        <v>369</v>
      </c>
      <c r="L214" s="17" t="s">
        <v>74</v>
      </c>
      <c r="M214" s="18">
        <v>1593.61</v>
      </c>
      <c r="N214" s="19">
        <f t="shared" si="6"/>
        <v>109.52544049171166</v>
      </c>
      <c r="O214" s="19">
        <f t="shared" si="7"/>
        <v>1484.0845595082881</v>
      </c>
      <c r="P214" s="19">
        <f>O214*25%</f>
        <v>371.02113987707202</v>
      </c>
      <c r="S214" s="19"/>
      <c r="U214" s="19"/>
    </row>
    <row r="215" spans="1:21" s="20" customFormat="1" x14ac:dyDescent="0.2">
      <c r="A215" s="10">
        <v>155</v>
      </c>
      <c r="B215" s="11" t="s">
        <v>968</v>
      </c>
      <c r="C215" s="12"/>
      <c r="D215" s="12"/>
      <c r="E215" s="12" t="s">
        <v>969</v>
      </c>
      <c r="F215" s="13">
        <v>33369</v>
      </c>
      <c r="G215" s="14" t="s">
        <v>970</v>
      </c>
      <c r="H215" s="11" t="s">
        <v>34</v>
      </c>
      <c r="I215" s="15">
        <v>4</v>
      </c>
      <c r="J215" s="13">
        <v>46391</v>
      </c>
      <c r="K215" s="16" t="s">
        <v>971</v>
      </c>
      <c r="L215" s="17" t="s">
        <v>972</v>
      </c>
      <c r="M215" s="18">
        <v>1630.77</v>
      </c>
      <c r="N215" s="19">
        <f t="shared" si="6"/>
        <v>112.07936859750419</v>
      </c>
      <c r="O215" s="19">
        <f t="shared" si="7"/>
        <v>1518.6906314024957</v>
      </c>
      <c r="P215" s="19">
        <f>O215*30%</f>
        <v>455.60718942074868</v>
      </c>
      <c r="S215" s="19"/>
      <c r="U215" s="19"/>
    </row>
    <row r="216" spans="1:21" s="20" customFormat="1" x14ac:dyDescent="0.2">
      <c r="A216" s="10">
        <v>156</v>
      </c>
      <c r="B216" s="11" t="s">
        <v>934</v>
      </c>
      <c r="C216" s="12" t="s">
        <v>973</v>
      </c>
      <c r="D216" s="12"/>
      <c r="E216" s="12" t="s">
        <v>974</v>
      </c>
      <c r="F216" s="13">
        <v>31145</v>
      </c>
      <c r="G216" s="14" t="s">
        <v>936</v>
      </c>
      <c r="H216" s="11" t="s">
        <v>204</v>
      </c>
      <c r="I216" s="15">
        <v>0</v>
      </c>
      <c r="J216" s="13">
        <v>46392</v>
      </c>
      <c r="K216" s="16" t="s">
        <v>937</v>
      </c>
      <c r="L216" s="17" t="s">
        <v>975</v>
      </c>
      <c r="M216" s="18">
        <v>2690.2</v>
      </c>
      <c r="N216" s="19">
        <f t="shared" si="6"/>
        <v>184.89174892903702</v>
      </c>
      <c r="O216" s="19">
        <f t="shared" si="7"/>
        <v>2505.3082510709623</v>
      </c>
      <c r="P216" s="19">
        <f>O216*20%</f>
        <v>501.06165021419247</v>
      </c>
      <c r="S216" s="19"/>
      <c r="U216" s="19"/>
    </row>
    <row r="217" spans="1:21" s="20" customFormat="1" x14ac:dyDescent="0.2">
      <c r="A217" s="10">
        <v>157</v>
      </c>
      <c r="B217" s="11" t="s">
        <v>976</v>
      </c>
      <c r="C217" s="12" t="s">
        <v>977</v>
      </c>
      <c r="D217" s="12"/>
      <c r="E217" s="12" t="s">
        <v>978</v>
      </c>
      <c r="F217" s="13">
        <v>32838</v>
      </c>
      <c r="G217" s="14" t="s">
        <v>979</v>
      </c>
      <c r="H217" s="11" t="s">
        <v>46</v>
      </c>
      <c r="I217" s="15">
        <v>0</v>
      </c>
      <c r="J217" s="13">
        <v>46393</v>
      </c>
      <c r="K217" s="16" t="s">
        <v>980</v>
      </c>
      <c r="L217" s="17" t="s">
        <v>981</v>
      </c>
      <c r="M217" s="18">
        <v>4830.33</v>
      </c>
      <c r="N217" s="19">
        <f t="shared" si="6"/>
        <v>331.97835164835163</v>
      </c>
      <c r="O217" s="19">
        <f t="shared" si="7"/>
        <v>4498.3516483516478</v>
      </c>
      <c r="P217" s="19">
        <f>O217*20%</f>
        <v>899.67032967032958</v>
      </c>
      <c r="S217" s="19"/>
      <c r="U217" s="19"/>
    </row>
    <row r="218" spans="1:21" s="20" customFormat="1" x14ac:dyDescent="0.2">
      <c r="A218" s="10">
        <v>160</v>
      </c>
      <c r="B218" s="11" t="s">
        <v>982</v>
      </c>
      <c r="C218" s="12"/>
      <c r="D218" s="12"/>
      <c r="E218" s="12" t="s">
        <v>983</v>
      </c>
      <c r="F218" s="13">
        <v>22201</v>
      </c>
      <c r="G218" s="14" t="s">
        <v>984</v>
      </c>
      <c r="H218" s="11" t="s">
        <v>133</v>
      </c>
      <c r="I218" s="15">
        <v>1</v>
      </c>
      <c r="J218" s="13">
        <v>46396</v>
      </c>
      <c r="K218" s="16" t="s">
        <v>985</v>
      </c>
      <c r="L218" s="17" t="s">
        <v>74</v>
      </c>
      <c r="M218" s="18">
        <v>756.18</v>
      </c>
      <c r="N218" s="19">
        <f t="shared" si="6"/>
        <v>51.970650027938163</v>
      </c>
      <c r="O218" s="19">
        <f t="shared" si="7"/>
        <v>704.20934997206177</v>
      </c>
      <c r="P218" s="19">
        <f>O218*10%</f>
        <v>70.420934997206174</v>
      </c>
      <c r="S218" s="19"/>
      <c r="U218" s="19"/>
    </row>
    <row r="219" spans="1:21" s="20" customFormat="1" x14ac:dyDescent="0.2">
      <c r="A219" s="10">
        <v>162</v>
      </c>
      <c r="B219" s="11" t="s">
        <v>986</v>
      </c>
      <c r="C219" s="12" t="s">
        <v>818</v>
      </c>
      <c r="D219" s="12"/>
      <c r="E219" s="12" t="s">
        <v>819</v>
      </c>
      <c r="F219" s="13">
        <v>17256</v>
      </c>
      <c r="G219" s="14" t="s">
        <v>820</v>
      </c>
      <c r="H219" s="11" t="s">
        <v>22</v>
      </c>
      <c r="I219" s="15">
        <v>1</v>
      </c>
      <c r="J219" s="13">
        <v>46397</v>
      </c>
      <c r="K219" s="16" t="s">
        <v>821</v>
      </c>
      <c r="L219" s="17" t="s">
        <v>74</v>
      </c>
      <c r="M219" s="18">
        <v>1322.9</v>
      </c>
      <c r="N219" s="19">
        <f t="shared" si="6"/>
        <v>90.920115477742598</v>
      </c>
      <c r="O219" s="19">
        <f t="shared" si="7"/>
        <v>1231.9798845222574</v>
      </c>
      <c r="P219" s="19">
        <f>O219*20%</f>
        <v>246.39597690445149</v>
      </c>
      <c r="S219" s="19"/>
      <c r="U219" s="19"/>
    </row>
    <row r="220" spans="1:21" s="20" customFormat="1" x14ac:dyDescent="0.2">
      <c r="A220" s="10">
        <v>164</v>
      </c>
      <c r="B220" s="11" t="s">
        <v>987</v>
      </c>
      <c r="C220" s="12"/>
      <c r="D220" s="12"/>
      <c r="E220" s="12" t="s">
        <v>988</v>
      </c>
      <c r="F220" s="13">
        <v>30659</v>
      </c>
      <c r="G220" s="14" t="s">
        <v>989</v>
      </c>
      <c r="H220" s="11" t="s">
        <v>22</v>
      </c>
      <c r="I220" s="15">
        <v>0</v>
      </c>
      <c r="J220" s="13">
        <v>46399</v>
      </c>
      <c r="K220" s="16" t="s">
        <v>990</v>
      </c>
      <c r="L220" s="17" t="s">
        <v>991</v>
      </c>
      <c r="M220" s="18">
        <v>1707.57</v>
      </c>
      <c r="N220" s="19">
        <f t="shared" si="6"/>
        <v>117.35766995716148</v>
      </c>
      <c r="O220" s="19">
        <f t="shared" si="7"/>
        <v>1590.2123300428384</v>
      </c>
      <c r="P220" s="19">
        <f>O220*20%</f>
        <v>318.04246600856771</v>
      </c>
      <c r="S220" s="19"/>
      <c r="U220" s="19"/>
    </row>
    <row r="221" spans="1:21" s="20" customFormat="1" x14ac:dyDescent="0.2">
      <c r="A221" s="10">
        <v>165</v>
      </c>
      <c r="B221" s="11" t="s">
        <v>992</v>
      </c>
      <c r="C221" s="12"/>
      <c r="D221" s="12"/>
      <c r="E221" s="12" t="s">
        <v>166</v>
      </c>
      <c r="F221" s="13"/>
      <c r="G221" s="14" t="s">
        <v>167</v>
      </c>
      <c r="H221" s="11" t="s">
        <v>40</v>
      </c>
      <c r="I221" s="15">
        <v>11</v>
      </c>
      <c r="J221" s="13">
        <v>46401</v>
      </c>
      <c r="K221" s="16" t="s">
        <v>993</v>
      </c>
      <c r="L221" s="17" t="s">
        <v>994</v>
      </c>
      <c r="M221" s="18">
        <v>159992.76999999999</v>
      </c>
      <c r="N221" s="19">
        <f t="shared" si="6"/>
        <v>10995.964263363754</v>
      </c>
      <c r="O221" s="19">
        <f t="shared" si="7"/>
        <v>148996.80573663622</v>
      </c>
      <c r="P221" s="19">
        <f>O221*15%</f>
        <v>22349.520860495431</v>
      </c>
      <c r="S221" s="19"/>
      <c r="U221" s="19"/>
    </row>
    <row r="222" spans="1:21" s="20" customFormat="1" x14ac:dyDescent="0.2">
      <c r="A222" s="20">
        <v>256</v>
      </c>
      <c r="B222" s="11" t="s">
        <v>995</v>
      </c>
      <c r="C222" s="12"/>
      <c r="D222" s="12"/>
      <c r="E222" s="12" t="s">
        <v>809</v>
      </c>
      <c r="F222" s="13">
        <v>40461</v>
      </c>
      <c r="G222" s="14" t="s">
        <v>810</v>
      </c>
      <c r="H222" s="11" t="s">
        <v>28</v>
      </c>
      <c r="I222" s="15">
        <v>0</v>
      </c>
      <c r="J222" s="13">
        <v>46401</v>
      </c>
      <c r="K222" s="16" t="s">
        <v>811</v>
      </c>
      <c r="L222" s="17" t="s">
        <v>996</v>
      </c>
      <c r="M222" s="18">
        <v>7478.35</v>
      </c>
      <c r="N222" s="19">
        <f t="shared" si="6"/>
        <v>513.97115850251441</v>
      </c>
      <c r="O222" s="19">
        <f t="shared" si="7"/>
        <v>6964.3788414974852</v>
      </c>
      <c r="P222" s="19">
        <f>O222*10%</f>
        <v>696.43788414974858</v>
      </c>
      <c r="S222" s="19"/>
      <c r="U222" s="19"/>
    </row>
    <row r="223" spans="1:21" s="20" customFormat="1" x14ac:dyDescent="0.2">
      <c r="A223" s="20">
        <v>257</v>
      </c>
      <c r="B223" s="11" t="s">
        <v>997</v>
      </c>
      <c r="C223" s="12"/>
      <c r="D223" s="12"/>
      <c r="E223" s="12" t="s">
        <v>998</v>
      </c>
      <c r="F223" s="13">
        <v>30408</v>
      </c>
      <c r="G223" s="14" t="s">
        <v>999</v>
      </c>
      <c r="H223" s="11" t="s">
        <v>40</v>
      </c>
      <c r="I223" s="15">
        <v>1</v>
      </c>
      <c r="J223" s="13">
        <v>46401</v>
      </c>
      <c r="K223" s="16" t="s">
        <v>1000</v>
      </c>
      <c r="L223" s="17" t="s">
        <v>74</v>
      </c>
      <c r="M223" s="18">
        <v>1015.4</v>
      </c>
      <c r="N223" s="19">
        <f t="shared" si="6"/>
        <v>69.786291674427261</v>
      </c>
      <c r="O223" s="19">
        <f t="shared" si="7"/>
        <v>945.61370832557259</v>
      </c>
      <c r="P223" s="19">
        <f>O223*20%</f>
        <v>189.12274166511452</v>
      </c>
      <c r="S223" s="19"/>
      <c r="U223" s="19"/>
    </row>
    <row r="224" spans="1:21" s="20" customFormat="1" x14ac:dyDescent="0.2">
      <c r="A224" s="20">
        <v>258</v>
      </c>
      <c r="B224" s="11" t="s">
        <v>1001</v>
      </c>
      <c r="C224" s="12"/>
      <c r="D224" s="12"/>
      <c r="E224" s="12" t="s">
        <v>1002</v>
      </c>
      <c r="F224" s="13">
        <v>30484</v>
      </c>
      <c r="G224" s="14" t="s">
        <v>1003</v>
      </c>
      <c r="H224" s="11" t="s">
        <v>28</v>
      </c>
      <c r="I224" s="15">
        <v>4</v>
      </c>
      <c r="J224" s="13">
        <v>46402</v>
      </c>
      <c r="K224" s="16" t="s">
        <v>1004</v>
      </c>
      <c r="L224" s="17" t="s">
        <v>1005</v>
      </c>
      <c r="M224" s="18">
        <v>953.64</v>
      </c>
      <c r="N224" s="19">
        <f t="shared" si="6"/>
        <v>65.541657664369524</v>
      </c>
      <c r="O224" s="19">
        <f t="shared" si="7"/>
        <v>888.09834233563038</v>
      </c>
      <c r="P224" s="19">
        <f>O224*15%</f>
        <v>133.21475135034456</v>
      </c>
      <c r="S224" s="19"/>
      <c r="U224" s="19"/>
    </row>
    <row r="225" spans="1:21" s="20" customFormat="1" x14ac:dyDescent="0.2">
      <c r="A225" s="10">
        <v>167</v>
      </c>
      <c r="B225" s="11" t="s">
        <v>1006</v>
      </c>
      <c r="C225" s="12"/>
      <c r="D225" s="12" t="s">
        <v>1007</v>
      </c>
      <c r="E225" s="12" t="s">
        <v>887</v>
      </c>
      <c r="F225" s="13">
        <v>28877</v>
      </c>
      <c r="G225" s="14" t="s">
        <v>1008</v>
      </c>
      <c r="H225" s="11" t="s">
        <v>133</v>
      </c>
      <c r="I225" s="15">
        <v>0</v>
      </c>
      <c r="J225" s="13">
        <v>46406</v>
      </c>
      <c r="K225" s="16" t="s">
        <v>889</v>
      </c>
      <c r="L225" s="17" t="s">
        <v>1009</v>
      </c>
      <c r="M225" s="18">
        <v>3682.59</v>
      </c>
      <c r="N225" s="19">
        <f t="shared" si="6"/>
        <v>253.09661203203578</v>
      </c>
      <c r="O225" s="19">
        <f t="shared" si="7"/>
        <v>3429.4933879679643</v>
      </c>
      <c r="P225" s="19">
        <f>O225*20%</f>
        <v>685.89867759359288</v>
      </c>
      <c r="S225" s="19"/>
      <c r="U225" s="19"/>
    </row>
    <row r="226" spans="1:21" s="20" customFormat="1" x14ac:dyDescent="0.2">
      <c r="A226" s="20">
        <v>259</v>
      </c>
      <c r="B226" s="11" t="s">
        <v>1010</v>
      </c>
      <c r="C226" s="12"/>
      <c r="D226" s="12"/>
      <c r="E226" s="12" t="s">
        <v>1011</v>
      </c>
      <c r="F226" s="13">
        <v>32351</v>
      </c>
      <c r="G226" s="14" t="s">
        <v>1012</v>
      </c>
      <c r="H226" s="11" t="s">
        <v>40</v>
      </c>
      <c r="I226" s="15">
        <v>0</v>
      </c>
      <c r="J226" s="13">
        <v>46409</v>
      </c>
      <c r="K226" s="16" t="s">
        <v>1013</v>
      </c>
      <c r="L226" s="17" t="s">
        <v>1014</v>
      </c>
      <c r="M226" s="18">
        <v>2738.49</v>
      </c>
      <c r="N226" s="19">
        <f t="shared" si="6"/>
        <v>188.21061836468613</v>
      </c>
      <c r="O226" s="19">
        <f t="shared" si="7"/>
        <v>2550.2793816353133</v>
      </c>
      <c r="P226" s="19">
        <f>O226*15%</f>
        <v>382.54190724529695</v>
      </c>
      <c r="S226" s="19"/>
      <c r="U226" s="19"/>
    </row>
    <row r="227" spans="1:21" s="20" customFormat="1" x14ac:dyDescent="0.2">
      <c r="A227" s="20">
        <v>260</v>
      </c>
      <c r="B227" s="11" t="s">
        <v>1015</v>
      </c>
      <c r="C227" s="12"/>
      <c r="D227" s="12"/>
      <c r="E227" s="12" t="s">
        <v>1016</v>
      </c>
      <c r="F227" s="13">
        <v>40461</v>
      </c>
      <c r="G227" s="14" t="s">
        <v>1017</v>
      </c>
      <c r="H227" s="11" t="s">
        <v>34</v>
      </c>
      <c r="I227" s="15">
        <v>0</v>
      </c>
      <c r="J227" s="13">
        <v>46410</v>
      </c>
      <c r="K227" s="16" t="s">
        <v>1018</v>
      </c>
      <c r="L227" s="17" t="s">
        <v>1019</v>
      </c>
      <c r="M227" s="18">
        <v>6142.2</v>
      </c>
      <c r="N227" s="19">
        <f t="shared" si="6"/>
        <v>422.14039858446631</v>
      </c>
      <c r="O227" s="19">
        <f t="shared" si="7"/>
        <v>5720.0596014155326</v>
      </c>
      <c r="P227" s="19">
        <f>O227*15%</f>
        <v>858.00894021232989</v>
      </c>
      <c r="S227" s="19"/>
      <c r="U227" s="19"/>
    </row>
    <row r="228" spans="1:21" s="20" customFormat="1" x14ac:dyDescent="0.2">
      <c r="A228" s="10">
        <v>169</v>
      </c>
      <c r="B228" s="11" t="s">
        <v>1020</v>
      </c>
      <c r="C228" s="12"/>
      <c r="D228" s="12" t="s">
        <v>328</v>
      </c>
      <c r="E228" s="12" t="s">
        <v>543</v>
      </c>
      <c r="F228" s="13">
        <v>29372</v>
      </c>
      <c r="G228" s="14" t="s">
        <v>1021</v>
      </c>
      <c r="H228" s="11" t="s">
        <v>28</v>
      </c>
      <c r="I228" s="15">
        <v>0</v>
      </c>
      <c r="J228" s="13">
        <v>46411</v>
      </c>
      <c r="K228" s="16" t="s">
        <v>545</v>
      </c>
      <c r="L228" s="17" t="s">
        <v>1022</v>
      </c>
      <c r="M228" s="18">
        <v>2051.23</v>
      </c>
      <c r="N228" s="19">
        <f t="shared" si="6"/>
        <v>140.9766939839821</v>
      </c>
      <c r="O228" s="19">
        <f t="shared" si="7"/>
        <v>1910.2533060160176</v>
      </c>
      <c r="P228" s="19">
        <f>O228*20%</f>
        <v>382.05066120320356</v>
      </c>
      <c r="S228" s="19"/>
      <c r="U228" s="19"/>
    </row>
    <row r="229" spans="1:21" s="20" customFormat="1" x14ac:dyDescent="0.2">
      <c r="A229" s="20">
        <v>261</v>
      </c>
      <c r="B229" s="11" t="s">
        <v>1023</v>
      </c>
      <c r="C229" s="12"/>
      <c r="D229" s="12"/>
      <c r="E229" s="12" t="s">
        <v>1011</v>
      </c>
      <c r="F229" s="13">
        <v>27677</v>
      </c>
      <c r="G229" s="14" t="s">
        <v>1012</v>
      </c>
      <c r="H229" s="11" t="s">
        <v>101</v>
      </c>
      <c r="I229" s="15">
        <v>0</v>
      </c>
      <c r="J229" s="13">
        <v>46414</v>
      </c>
      <c r="K229" s="16" t="s">
        <v>1013</v>
      </c>
      <c r="L229" s="17" t="s">
        <v>1024</v>
      </c>
      <c r="M229" s="18">
        <v>4846.08</v>
      </c>
      <c r="N229" s="19">
        <f t="shared" si="6"/>
        <v>333.06081579437512</v>
      </c>
      <c r="O229" s="19">
        <f t="shared" si="7"/>
        <v>4513.0191842056247</v>
      </c>
      <c r="P229" s="19">
        <f>O229*10%</f>
        <v>451.30191842056252</v>
      </c>
      <c r="S229" s="19"/>
      <c r="U229" s="19"/>
    </row>
    <row r="230" spans="1:21" s="20" customFormat="1" x14ac:dyDescent="0.2">
      <c r="A230" s="10">
        <v>170</v>
      </c>
      <c r="B230" s="11" t="s">
        <v>1025</v>
      </c>
      <c r="C230" s="12"/>
      <c r="D230" s="12"/>
      <c r="E230" s="12" t="s">
        <v>1026</v>
      </c>
      <c r="F230" s="13">
        <v>29042</v>
      </c>
      <c r="G230" s="14" t="s">
        <v>1027</v>
      </c>
      <c r="H230" s="11" t="s">
        <v>297</v>
      </c>
      <c r="I230" s="15">
        <v>0</v>
      </c>
      <c r="J230" s="13">
        <v>46415</v>
      </c>
      <c r="K230" s="16" t="s">
        <v>1028</v>
      </c>
      <c r="L230" s="17" t="s">
        <v>1029</v>
      </c>
      <c r="M230" s="18">
        <v>2956.76</v>
      </c>
      <c r="N230" s="19">
        <f t="shared" si="6"/>
        <v>203.21185323151425</v>
      </c>
      <c r="O230" s="19">
        <f t="shared" si="7"/>
        <v>2753.5481467684858</v>
      </c>
      <c r="P230" s="19">
        <f>O230*20%</f>
        <v>550.70962935369721</v>
      </c>
      <c r="S230" s="19"/>
      <c r="U230" s="19"/>
    </row>
    <row r="231" spans="1:21" s="20" customFormat="1" x14ac:dyDescent="0.2">
      <c r="A231" s="20">
        <v>259</v>
      </c>
      <c r="B231" s="11" t="s">
        <v>1030</v>
      </c>
      <c r="C231" s="12"/>
      <c r="D231" s="12"/>
      <c r="E231" s="12" t="s">
        <v>1031</v>
      </c>
      <c r="F231" s="13">
        <v>35971</v>
      </c>
      <c r="G231" s="14" t="s">
        <v>1032</v>
      </c>
      <c r="H231" s="11" t="s">
        <v>40</v>
      </c>
      <c r="I231" s="15">
        <v>0</v>
      </c>
      <c r="J231" s="13">
        <v>46415</v>
      </c>
      <c r="K231" s="16" t="s">
        <v>1033</v>
      </c>
      <c r="L231" s="17" t="s">
        <v>1034</v>
      </c>
      <c r="M231" s="18">
        <v>1090.93</v>
      </c>
      <c r="N231" s="19">
        <f t="shared" si="6"/>
        <v>74.977308623579816</v>
      </c>
      <c r="O231" s="19">
        <f t="shared" si="7"/>
        <v>1015.9526913764201</v>
      </c>
      <c r="P231" s="19">
        <f>O231*20%</f>
        <v>203.19053827528404</v>
      </c>
      <c r="S231" s="19"/>
      <c r="U231" s="19"/>
    </row>
    <row r="232" spans="1:21" s="20" customFormat="1" x14ac:dyDescent="0.2">
      <c r="A232" s="20">
        <v>260</v>
      </c>
      <c r="B232" s="11" t="s">
        <v>1035</v>
      </c>
      <c r="C232" s="12"/>
      <c r="D232" s="12"/>
      <c r="E232" s="12" t="s">
        <v>1036</v>
      </c>
      <c r="F232" s="13">
        <v>40461</v>
      </c>
      <c r="G232" s="14" t="s">
        <v>1037</v>
      </c>
      <c r="H232" s="11" t="s">
        <v>46</v>
      </c>
      <c r="I232" s="15">
        <v>0</v>
      </c>
      <c r="J232" s="13">
        <v>46416</v>
      </c>
      <c r="K232" s="24" t="s">
        <v>1038</v>
      </c>
      <c r="L232" s="17" t="s">
        <v>1039</v>
      </c>
      <c r="M232" s="18">
        <v>3842.4</v>
      </c>
      <c r="N232" s="19">
        <f t="shared" si="6"/>
        <v>264.08001490035389</v>
      </c>
      <c r="O232" s="19">
        <f t="shared" si="7"/>
        <v>3578.3199850996457</v>
      </c>
      <c r="P232" s="19">
        <f>O232*20%</f>
        <v>715.66399701992918</v>
      </c>
      <c r="S232" s="19"/>
      <c r="U232" s="19"/>
    </row>
    <row r="233" spans="1:21" s="20" customFormat="1" x14ac:dyDescent="0.2">
      <c r="A233" s="10">
        <v>173</v>
      </c>
      <c r="B233" s="11" t="s">
        <v>1040</v>
      </c>
      <c r="C233" s="12" t="s">
        <v>1041</v>
      </c>
      <c r="D233" s="12"/>
      <c r="E233" s="12" t="s">
        <v>1042</v>
      </c>
      <c r="F233" s="13">
        <v>29087</v>
      </c>
      <c r="G233" s="14" t="s">
        <v>1043</v>
      </c>
      <c r="H233" s="11" t="s">
        <v>22</v>
      </c>
      <c r="I233" s="15">
        <v>0</v>
      </c>
      <c r="J233" s="13">
        <v>46417</v>
      </c>
      <c r="K233" s="16" t="s">
        <v>1044</v>
      </c>
      <c r="L233" s="17" t="s">
        <v>1045</v>
      </c>
      <c r="M233" s="18">
        <v>2609.16</v>
      </c>
      <c r="N233" s="19">
        <f t="shared" si="6"/>
        <v>179.322041348482</v>
      </c>
      <c r="O233" s="19">
        <f t="shared" si="7"/>
        <v>2429.8379586515175</v>
      </c>
      <c r="P233" s="19">
        <f>O233*20%</f>
        <v>485.96759173030352</v>
      </c>
      <c r="S233" s="19"/>
      <c r="U233" s="19"/>
    </row>
    <row r="234" spans="1:21" s="20" customFormat="1" x14ac:dyDescent="0.2">
      <c r="A234" s="20">
        <v>261</v>
      </c>
      <c r="B234" s="11" t="s">
        <v>1046</v>
      </c>
      <c r="C234" s="12"/>
      <c r="D234" s="12"/>
      <c r="E234" s="12" t="s">
        <v>1047</v>
      </c>
      <c r="F234" s="13">
        <v>31947</v>
      </c>
      <c r="G234" s="14" t="s">
        <v>1048</v>
      </c>
      <c r="H234" s="11" t="s">
        <v>40</v>
      </c>
      <c r="I234" s="15">
        <v>0</v>
      </c>
      <c r="J234" s="13">
        <v>46417</v>
      </c>
      <c r="K234" s="25" t="s">
        <v>1049</v>
      </c>
      <c r="L234" s="17" t="s">
        <v>1050</v>
      </c>
      <c r="M234" s="18">
        <v>3667.9</v>
      </c>
      <c r="N234" s="19">
        <f t="shared" si="6"/>
        <v>252.08699944123674</v>
      </c>
      <c r="O234" s="19">
        <f t="shared" si="7"/>
        <v>3415.8130005587632</v>
      </c>
      <c r="P234" s="19">
        <f>O234*15%</f>
        <v>512.37195008381445</v>
      </c>
      <c r="S234" s="19"/>
      <c r="U234" s="19"/>
    </row>
    <row r="235" spans="1:21" s="20" customFormat="1" x14ac:dyDescent="0.2">
      <c r="A235" s="20">
        <v>263</v>
      </c>
      <c r="B235" s="11" t="s">
        <v>1051</v>
      </c>
      <c r="C235" s="12"/>
      <c r="D235" s="12"/>
      <c r="E235" s="12" t="s">
        <v>558</v>
      </c>
      <c r="F235" s="13">
        <v>29916</v>
      </c>
      <c r="G235" s="14" t="s">
        <v>1052</v>
      </c>
      <c r="H235" s="11" t="s">
        <v>28</v>
      </c>
      <c r="I235" s="15">
        <v>0</v>
      </c>
      <c r="J235" s="13">
        <v>46417</v>
      </c>
      <c r="K235" s="25" t="s">
        <v>562</v>
      </c>
      <c r="L235" s="17" t="s">
        <v>1053</v>
      </c>
      <c r="M235" s="18">
        <v>4745.46</v>
      </c>
      <c r="N235" s="19">
        <f t="shared" si="6"/>
        <v>326.14541627863662</v>
      </c>
      <c r="O235" s="19">
        <f t="shared" si="7"/>
        <v>4419.3145837213633</v>
      </c>
      <c r="P235" s="19">
        <f>O235*15%</f>
        <v>662.89718755820445</v>
      </c>
      <c r="S235" s="19"/>
      <c r="U235" s="19"/>
    </row>
    <row r="236" spans="1:21" s="20" customFormat="1" x14ac:dyDescent="0.2">
      <c r="A236" s="10">
        <v>175</v>
      </c>
      <c r="B236" s="11" t="s">
        <v>1054</v>
      </c>
      <c r="C236" s="12"/>
      <c r="D236" s="12"/>
      <c r="E236" s="12" t="s">
        <v>495</v>
      </c>
      <c r="F236" s="13">
        <v>29130</v>
      </c>
      <c r="G236" s="14" t="s">
        <v>1055</v>
      </c>
      <c r="H236" s="11" t="s">
        <v>34</v>
      </c>
      <c r="I236" s="15">
        <v>4</v>
      </c>
      <c r="J236" s="13">
        <v>46419</v>
      </c>
      <c r="K236" s="16" t="s">
        <v>497</v>
      </c>
      <c r="L236" s="17" t="s">
        <v>1056</v>
      </c>
      <c r="M236" s="18">
        <v>986.18</v>
      </c>
      <c r="N236" s="19">
        <f t="shared" si="6"/>
        <v>67.778062953995146</v>
      </c>
      <c r="O236" s="19">
        <f t="shared" si="7"/>
        <v>918.40193704600472</v>
      </c>
      <c r="P236" s="19">
        <f>O236*20%</f>
        <v>183.68038740920096</v>
      </c>
      <c r="S236" s="19"/>
      <c r="U236" s="19"/>
    </row>
    <row r="237" spans="1:21" s="20" customFormat="1" x14ac:dyDescent="0.2">
      <c r="A237" s="10">
        <v>176</v>
      </c>
      <c r="B237" s="11" t="s">
        <v>1057</v>
      </c>
      <c r="C237" s="12"/>
      <c r="D237" s="12"/>
      <c r="E237" s="12" t="s">
        <v>871</v>
      </c>
      <c r="F237" s="13">
        <v>25257</v>
      </c>
      <c r="G237" s="14" t="s">
        <v>872</v>
      </c>
      <c r="H237" s="11" t="s">
        <v>28</v>
      </c>
      <c r="I237" s="15">
        <v>4</v>
      </c>
      <c r="J237" s="13">
        <v>46420</v>
      </c>
      <c r="K237" s="16" t="s">
        <v>873</v>
      </c>
      <c r="L237" s="17" t="s">
        <v>1058</v>
      </c>
      <c r="M237" s="18">
        <v>3495.22</v>
      </c>
      <c r="N237" s="19">
        <f t="shared" si="6"/>
        <v>240.21906872788227</v>
      </c>
      <c r="O237" s="19">
        <f t="shared" si="7"/>
        <v>3255.0009312721172</v>
      </c>
      <c r="P237" s="19">
        <f>O237*20%</f>
        <v>651.00018625442351</v>
      </c>
      <c r="S237" s="19"/>
      <c r="U237" s="19"/>
    </row>
    <row r="238" spans="1:21" s="20" customFormat="1" x14ac:dyDescent="0.2">
      <c r="A238" s="20">
        <v>262</v>
      </c>
      <c r="B238" s="11" t="s">
        <v>1059</v>
      </c>
      <c r="C238" s="12"/>
      <c r="D238" s="12"/>
      <c r="E238" s="12" t="s">
        <v>527</v>
      </c>
      <c r="F238" s="13">
        <v>35324</v>
      </c>
      <c r="G238" s="14" t="s">
        <v>1060</v>
      </c>
      <c r="H238" s="11" t="s">
        <v>28</v>
      </c>
      <c r="I238" s="15">
        <v>4</v>
      </c>
      <c r="J238" s="13">
        <v>46420</v>
      </c>
      <c r="K238" s="25" t="s">
        <v>529</v>
      </c>
      <c r="L238" s="17" t="s">
        <v>311</v>
      </c>
      <c r="M238" s="18">
        <v>2062.1999999999998</v>
      </c>
      <c r="N238" s="19">
        <f t="shared" si="6"/>
        <v>141.73063885267274</v>
      </c>
      <c r="O238" s="19">
        <f t="shared" si="7"/>
        <v>1920.4693611473269</v>
      </c>
      <c r="P238" s="19">
        <f>O238*10%</f>
        <v>192.04693611473272</v>
      </c>
      <c r="S238" s="19"/>
      <c r="U238" s="19"/>
    </row>
    <row r="239" spans="1:21" s="20" customFormat="1" x14ac:dyDescent="0.2">
      <c r="A239" s="10">
        <v>131</v>
      </c>
      <c r="B239" s="11" t="s">
        <v>1061</v>
      </c>
      <c r="C239" s="12"/>
      <c r="D239" s="12"/>
      <c r="E239" s="12" t="s">
        <v>1062</v>
      </c>
      <c r="F239" s="13">
        <v>36635</v>
      </c>
      <c r="G239" s="14" t="s">
        <v>1063</v>
      </c>
      <c r="H239" s="11" t="s">
        <v>22</v>
      </c>
      <c r="I239" s="15">
        <v>0</v>
      </c>
      <c r="J239" s="13">
        <v>46423</v>
      </c>
      <c r="K239" s="16" t="s">
        <v>1064</v>
      </c>
      <c r="L239" s="17" t="s">
        <v>1065</v>
      </c>
      <c r="M239" s="18">
        <v>3013.45</v>
      </c>
      <c r="N239" s="19">
        <f t="shared" si="6"/>
        <v>207.10803687837586</v>
      </c>
      <c r="O239" s="19">
        <f t="shared" si="7"/>
        <v>2806.3419631216238</v>
      </c>
      <c r="P239" s="19">
        <f>O239*25%</f>
        <v>701.58549078040596</v>
      </c>
      <c r="S239" s="19"/>
      <c r="U239" s="19"/>
    </row>
    <row r="240" spans="1:21" s="20" customFormat="1" x14ac:dyDescent="0.2">
      <c r="A240" s="10">
        <v>178</v>
      </c>
      <c r="B240" s="11" t="s">
        <v>997</v>
      </c>
      <c r="C240" s="12"/>
      <c r="D240" s="12"/>
      <c r="E240" s="12" t="s">
        <v>998</v>
      </c>
      <c r="F240" s="13">
        <v>30408</v>
      </c>
      <c r="G240" s="14" t="s">
        <v>999</v>
      </c>
      <c r="H240" s="11" t="s">
        <v>133</v>
      </c>
      <c r="I240" s="15">
        <v>0</v>
      </c>
      <c r="J240" s="13">
        <v>46424</v>
      </c>
      <c r="K240" s="16" t="s">
        <v>1000</v>
      </c>
      <c r="L240" s="17" t="s">
        <v>1066</v>
      </c>
      <c r="M240" s="18">
        <v>3566.43</v>
      </c>
      <c r="N240" s="19">
        <f t="shared" si="6"/>
        <v>245.11318122555409</v>
      </c>
      <c r="O240" s="19">
        <f t="shared" si="7"/>
        <v>3321.3168187744454</v>
      </c>
      <c r="P240" s="19">
        <f>O240*20%</f>
        <v>664.26336375488916</v>
      </c>
      <c r="S240" s="19"/>
      <c r="U240" s="19"/>
    </row>
    <row r="241" spans="1:21" s="20" customFormat="1" x14ac:dyDescent="0.2">
      <c r="A241" s="10">
        <v>179</v>
      </c>
      <c r="B241" s="11" t="s">
        <v>1067</v>
      </c>
      <c r="C241" s="12"/>
      <c r="D241" s="12" t="s">
        <v>420</v>
      </c>
      <c r="E241" s="12" t="s">
        <v>80</v>
      </c>
      <c r="F241" s="13"/>
      <c r="G241" s="14" t="s">
        <v>81</v>
      </c>
      <c r="H241" s="11" t="s">
        <v>133</v>
      </c>
      <c r="I241" s="15">
        <v>3</v>
      </c>
      <c r="J241" s="13">
        <v>46425</v>
      </c>
      <c r="K241" s="16" t="s">
        <v>421</v>
      </c>
      <c r="L241" s="17" t="s">
        <v>53</v>
      </c>
      <c r="M241" s="18">
        <v>3610.34</v>
      </c>
      <c r="N241" s="19">
        <f t="shared" si="6"/>
        <v>248.13102253678525</v>
      </c>
      <c r="O241" s="19">
        <f t="shared" si="7"/>
        <v>3362.2089774632145</v>
      </c>
      <c r="P241" s="19">
        <f>O241*10%</f>
        <v>336.2208977463215</v>
      </c>
      <c r="S241" s="19"/>
      <c r="U241" s="19"/>
    </row>
    <row r="242" spans="1:21" s="20" customFormat="1" x14ac:dyDescent="0.2">
      <c r="A242" s="10">
        <v>180</v>
      </c>
      <c r="B242" s="11" t="s">
        <v>1068</v>
      </c>
      <c r="C242" s="12"/>
      <c r="D242" s="12" t="s">
        <v>137</v>
      </c>
      <c r="E242" s="12" t="s">
        <v>1069</v>
      </c>
      <c r="F242" s="13"/>
      <c r="G242" s="14" t="s">
        <v>1070</v>
      </c>
      <c r="H242" s="11" t="s">
        <v>28</v>
      </c>
      <c r="I242" s="15">
        <v>0</v>
      </c>
      <c r="J242" s="13">
        <v>46428</v>
      </c>
      <c r="K242" s="16" t="s">
        <v>139</v>
      </c>
      <c r="L242" s="17" t="s">
        <v>994</v>
      </c>
      <c r="M242" s="18">
        <v>17611.59</v>
      </c>
      <c r="N242" s="19">
        <f t="shared" si="6"/>
        <v>1210.4072844105046</v>
      </c>
      <c r="O242" s="19">
        <f t="shared" si="7"/>
        <v>16401.182715589493</v>
      </c>
      <c r="P242" s="19">
        <f>O242*20%</f>
        <v>3280.2365431178987</v>
      </c>
      <c r="S242" s="19"/>
      <c r="U242" s="19"/>
    </row>
    <row r="243" spans="1:21" s="20" customFormat="1" x14ac:dyDescent="0.2">
      <c r="A243" s="10">
        <v>182</v>
      </c>
      <c r="B243" s="11" t="s">
        <v>1071</v>
      </c>
      <c r="C243" s="12"/>
      <c r="D243" s="12"/>
      <c r="E243" s="12" t="s">
        <v>1072</v>
      </c>
      <c r="F243" s="13">
        <v>27834</v>
      </c>
      <c r="G243" s="14" t="s">
        <v>1073</v>
      </c>
      <c r="H243" s="11" t="s">
        <v>28</v>
      </c>
      <c r="I243" s="15">
        <v>0</v>
      </c>
      <c r="J243" s="13">
        <v>46430</v>
      </c>
      <c r="K243" s="16" t="s">
        <v>1074</v>
      </c>
      <c r="L243" s="17" t="s">
        <v>1075</v>
      </c>
      <c r="M243" s="18">
        <v>2350.11</v>
      </c>
      <c r="N243" s="19">
        <f t="shared" si="6"/>
        <v>161.51808344198173</v>
      </c>
      <c r="O243" s="19">
        <f t="shared" si="7"/>
        <v>2188.5919165580181</v>
      </c>
      <c r="P243" s="19">
        <f>O243*20%</f>
        <v>437.71838331160365</v>
      </c>
      <c r="S243" s="19"/>
      <c r="U243" s="19"/>
    </row>
    <row r="244" spans="1:21" s="20" customFormat="1" x14ac:dyDescent="0.2">
      <c r="A244" s="10">
        <v>91</v>
      </c>
      <c r="B244" s="11" t="s">
        <v>1076</v>
      </c>
      <c r="C244" s="12" t="s">
        <v>914</v>
      </c>
      <c r="D244" s="12"/>
      <c r="E244" s="12" t="s">
        <v>1077</v>
      </c>
      <c r="F244" s="13">
        <v>25257</v>
      </c>
      <c r="G244" s="14" t="s">
        <v>872</v>
      </c>
      <c r="H244" s="11" t="s">
        <v>204</v>
      </c>
      <c r="I244" s="15">
        <v>0</v>
      </c>
      <c r="J244" s="13">
        <v>46431</v>
      </c>
      <c r="K244" s="16" t="s">
        <v>873</v>
      </c>
      <c r="L244" s="17" t="s">
        <v>1078</v>
      </c>
      <c r="M244" s="18">
        <v>3409.7</v>
      </c>
      <c r="N244" s="19">
        <f t="shared" si="6"/>
        <v>234.34146023468057</v>
      </c>
      <c r="O244" s="19">
        <f t="shared" si="7"/>
        <v>3175.3585397653192</v>
      </c>
      <c r="P244" s="19">
        <f>O244*20%</f>
        <v>635.07170795306388</v>
      </c>
      <c r="S244" s="19"/>
      <c r="U244" s="19"/>
    </row>
    <row r="245" spans="1:21" s="20" customFormat="1" x14ac:dyDescent="0.2">
      <c r="A245" s="10">
        <v>184</v>
      </c>
      <c r="B245" s="11" t="s">
        <v>1079</v>
      </c>
      <c r="C245" s="12"/>
      <c r="D245" s="12" t="s">
        <v>1080</v>
      </c>
      <c r="E245" s="12" t="s">
        <v>699</v>
      </c>
      <c r="F245" s="13">
        <v>20117</v>
      </c>
      <c r="G245" s="14" t="s">
        <v>1081</v>
      </c>
      <c r="H245" s="11" t="s">
        <v>133</v>
      </c>
      <c r="I245" s="15">
        <v>0</v>
      </c>
      <c r="J245" s="13">
        <v>46433</v>
      </c>
      <c r="K245" s="16" t="s">
        <v>1082</v>
      </c>
      <c r="L245" s="17" t="s">
        <v>1083</v>
      </c>
      <c r="M245" s="18">
        <v>3897.49</v>
      </c>
      <c r="N245" s="19">
        <f t="shared" si="6"/>
        <v>267.86623393555595</v>
      </c>
      <c r="O245" s="19">
        <f t="shared" si="7"/>
        <v>3629.6237660644433</v>
      </c>
      <c r="P245" s="19">
        <f>O245*20%</f>
        <v>725.92475321288873</v>
      </c>
      <c r="S245" s="19"/>
      <c r="U245" s="19"/>
    </row>
    <row r="246" spans="1:21" s="20" customFormat="1" x14ac:dyDescent="0.2">
      <c r="A246" s="10">
        <v>185</v>
      </c>
      <c r="B246" s="11" t="s">
        <v>1084</v>
      </c>
      <c r="C246" s="12"/>
      <c r="D246" s="12"/>
      <c r="E246" s="12" t="s">
        <v>105</v>
      </c>
      <c r="F246" s="13">
        <v>26690</v>
      </c>
      <c r="G246" s="14" t="s">
        <v>106</v>
      </c>
      <c r="H246" s="11" t="s">
        <v>133</v>
      </c>
      <c r="I246" s="15">
        <v>1</v>
      </c>
      <c r="J246" s="13">
        <v>46433</v>
      </c>
      <c r="K246" s="16" t="s">
        <v>107</v>
      </c>
      <c r="L246" s="17" t="s">
        <v>74</v>
      </c>
      <c r="M246" s="18">
        <v>847.12</v>
      </c>
      <c r="N246" s="19">
        <f t="shared" si="6"/>
        <v>58.220763643136522</v>
      </c>
      <c r="O246" s="19">
        <f t="shared" si="7"/>
        <v>788.89923635686341</v>
      </c>
      <c r="P246" s="19">
        <f>O246*10%</f>
        <v>78.889923635686344</v>
      </c>
      <c r="S246" s="19"/>
      <c r="U246" s="19"/>
    </row>
    <row r="247" spans="1:21" s="20" customFormat="1" x14ac:dyDescent="0.2">
      <c r="A247" s="10">
        <v>186</v>
      </c>
      <c r="B247" s="11" t="s">
        <v>1085</v>
      </c>
      <c r="C247" s="12"/>
      <c r="D247" s="12"/>
      <c r="E247" s="12" t="s">
        <v>1086</v>
      </c>
      <c r="F247" s="13">
        <v>2041974</v>
      </c>
      <c r="G247" s="14" t="s">
        <v>1087</v>
      </c>
      <c r="H247" s="11" t="s">
        <v>133</v>
      </c>
      <c r="I247" s="15">
        <v>0</v>
      </c>
      <c r="J247" s="13">
        <v>46434</v>
      </c>
      <c r="K247" s="16" t="s">
        <v>587</v>
      </c>
      <c r="L247" s="17" t="s">
        <v>1088</v>
      </c>
      <c r="M247" s="18">
        <v>2184.21</v>
      </c>
      <c r="N247" s="19">
        <f t="shared" si="6"/>
        <v>150.11612777053455</v>
      </c>
      <c r="O247" s="19">
        <f t="shared" si="7"/>
        <v>2034.0938722294652</v>
      </c>
      <c r="P247" s="19">
        <f>O247*25%</f>
        <v>508.5234680573663</v>
      </c>
      <c r="S247" s="19"/>
      <c r="U247" s="19"/>
    </row>
    <row r="248" spans="1:21" s="20" customFormat="1" x14ac:dyDescent="0.2">
      <c r="A248" s="10">
        <v>187</v>
      </c>
      <c r="B248" s="11" t="s">
        <v>1089</v>
      </c>
      <c r="C248" s="12" t="s">
        <v>1090</v>
      </c>
      <c r="D248" s="12"/>
      <c r="E248" s="12" t="s">
        <v>1091</v>
      </c>
      <c r="F248" s="13">
        <v>32429</v>
      </c>
      <c r="G248" s="14" t="s">
        <v>1092</v>
      </c>
      <c r="H248" s="11" t="s">
        <v>133</v>
      </c>
      <c r="I248" s="15">
        <v>0</v>
      </c>
      <c r="J248" s="13">
        <v>46435</v>
      </c>
      <c r="K248" s="16" t="s">
        <v>1093</v>
      </c>
      <c r="L248" s="17" t="s">
        <v>1094</v>
      </c>
      <c r="M248" s="18">
        <v>2500.88</v>
      </c>
      <c r="N248" s="19">
        <f t="shared" si="6"/>
        <v>171.88018625442353</v>
      </c>
      <c r="O248" s="19">
        <f t="shared" si="7"/>
        <v>2328.9998137455764</v>
      </c>
      <c r="P248" s="19">
        <f>O248*20%</f>
        <v>465.79996274911531</v>
      </c>
      <c r="S248" s="19"/>
      <c r="U248" s="19"/>
    </row>
    <row r="249" spans="1:21" s="20" customFormat="1" x14ac:dyDescent="0.2">
      <c r="A249" s="10">
        <v>189</v>
      </c>
      <c r="B249" s="11" t="s">
        <v>1095</v>
      </c>
      <c r="C249" s="12"/>
      <c r="D249" s="12"/>
      <c r="E249" s="12" t="s">
        <v>1096</v>
      </c>
      <c r="F249" s="13">
        <v>28690</v>
      </c>
      <c r="G249" s="14" t="s">
        <v>1097</v>
      </c>
      <c r="H249" s="11" t="s">
        <v>28</v>
      </c>
      <c r="I249" s="15">
        <v>0</v>
      </c>
      <c r="J249" s="13">
        <v>46437</v>
      </c>
      <c r="K249" s="16" t="s">
        <v>1098</v>
      </c>
      <c r="L249" s="17" t="s">
        <v>1099</v>
      </c>
      <c r="M249" s="18">
        <v>3380.49</v>
      </c>
      <c r="N249" s="19">
        <f t="shared" si="6"/>
        <v>232.33391879307132</v>
      </c>
      <c r="O249" s="19">
        <f t="shared" si="7"/>
        <v>3148.1560812069283</v>
      </c>
      <c r="P249" s="19">
        <f>O249*20%</f>
        <v>629.63121624138569</v>
      </c>
      <c r="S249" s="19"/>
      <c r="U249" s="19"/>
    </row>
    <row r="250" spans="1:21" s="20" customFormat="1" x14ac:dyDescent="0.2">
      <c r="A250" s="10">
        <v>188</v>
      </c>
      <c r="B250" s="11" t="s">
        <v>1100</v>
      </c>
      <c r="C250" s="12"/>
      <c r="D250" s="12"/>
      <c r="E250" s="12" t="s">
        <v>804</v>
      </c>
      <c r="F250" s="13">
        <v>30070</v>
      </c>
      <c r="G250" s="14" t="s">
        <v>805</v>
      </c>
      <c r="H250" s="11" t="s">
        <v>133</v>
      </c>
      <c r="I250" s="26">
        <v>1</v>
      </c>
      <c r="J250" s="13">
        <v>46437</v>
      </c>
      <c r="K250" s="16" t="s">
        <v>1101</v>
      </c>
      <c r="L250" s="17" t="s">
        <v>74</v>
      </c>
      <c r="M250" s="18">
        <v>1243.06</v>
      </c>
      <c r="N250" s="19">
        <f t="shared" si="6"/>
        <v>85.432881355932196</v>
      </c>
      <c r="O250" s="19">
        <f t="shared" si="7"/>
        <v>1157.6271186440677</v>
      </c>
      <c r="P250" s="19">
        <f>O250*25%</f>
        <v>289.40677966101691</v>
      </c>
      <c r="S250" s="19"/>
      <c r="U250" s="19"/>
    </row>
    <row r="251" spans="1:21" s="20" customFormat="1" x14ac:dyDescent="0.2">
      <c r="A251" s="10">
        <v>190</v>
      </c>
      <c r="B251" s="11" t="s">
        <v>1102</v>
      </c>
      <c r="C251" s="12"/>
      <c r="D251" s="12"/>
      <c r="E251" s="12" t="s">
        <v>26</v>
      </c>
      <c r="F251" s="13">
        <v>31581</v>
      </c>
      <c r="G251" s="14" t="s">
        <v>27</v>
      </c>
      <c r="H251" s="11" t="s">
        <v>28</v>
      </c>
      <c r="I251" s="15">
        <v>0</v>
      </c>
      <c r="J251" s="13">
        <v>46438</v>
      </c>
      <c r="K251" s="16" t="s">
        <v>29</v>
      </c>
      <c r="L251" s="17" t="s">
        <v>1103</v>
      </c>
      <c r="M251" s="18">
        <v>1671.05</v>
      </c>
      <c r="N251" s="19">
        <f t="shared" si="6"/>
        <v>114.84772769603278</v>
      </c>
      <c r="O251" s="19">
        <f t="shared" si="7"/>
        <v>1556.202272303967</v>
      </c>
      <c r="P251" s="19">
        <f>O251*20%</f>
        <v>311.24045446079344</v>
      </c>
      <c r="S251" s="19"/>
      <c r="U251" s="19"/>
    </row>
    <row r="252" spans="1:21" s="20" customFormat="1" x14ac:dyDescent="0.2">
      <c r="A252" s="10">
        <v>193</v>
      </c>
      <c r="B252" s="11" t="s">
        <v>1104</v>
      </c>
      <c r="C252" s="12" t="s">
        <v>1105</v>
      </c>
      <c r="D252" s="12"/>
      <c r="E252" s="12" t="s">
        <v>1106</v>
      </c>
      <c r="F252" s="13">
        <v>19143</v>
      </c>
      <c r="G252" s="14" t="s">
        <v>1107</v>
      </c>
      <c r="H252" s="11" t="s">
        <v>22</v>
      </c>
      <c r="I252" s="15">
        <v>0</v>
      </c>
      <c r="J252" s="13">
        <v>46443</v>
      </c>
      <c r="K252" s="16" t="s">
        <v>1108</v>
      </c>
      <c r="L252" s="17" t="s">
        <v>1109</v>
      </c>
      <c r="M252" s="18">
        <v>2181.25</v>
      </c>
      <c r="N252" s="19">
        <f t="shared" si="6"/>
        <v>149.91269323896444</v>
      </c>
      <c r="O252" s="19">
        <f t="shared" si="7"/>
        <v>2031.3373067610355</v>
      </c>
      <c r="P252" s="19">
        <f>O252*20%</f>
        <v>406.26746135220714</v>
      </c>
      <c r="S252" s="19"/>
      <c r="U252" s="19"/>
    </row>
    <row r="253" spans="1:21" s="20" customFormat="1" x14ac:dyDescent="0.2">
      <c r="A253" s="10">
        <v>194</v>
      </c>
      <c r="B253" s="11" t="s">
        <v>1110</v>
      </c>
      <c r="C253" s="12"/>
      <c r="D253" s="12"/>
      <c r="E253" s="12" t="s">
        <v>1111</v>
      </c>
      <c r="F253" s="13">
        <v>19778</v>
      </c>
      <c r="G253" s="14" t="s">
        <v>1112</v>
      </c>
      <c r="H253" s="11" t="s">
        <v>57</v>
      </c>
      <c r="I253" s="15">
        <v>0</v>
      </c>
      <c r="J253" s="13">
        <v>46445</v>
      </c>
      <c r="K253" s="16" t="s">
        <v>1113</v>
      </c>
      <c r="L253" s="17">
        <v>4175.1400000000003</v>
      </c>
      <c r="M253" s="18">
        <v>4242.21</v>
      </c>
      <c r="N253" s="19">
        <f t="shared" si="6"/>
        <v>291.55810951760105</v>
      </c>
      <c r="O253" s="19">
        <f t="shared" si="7"/>
        <v>3950.6518904823988</v>
      </c>
      <c r="P253" s="19">
        <f>O253*25%</f>
        <v>987.6629726205997</v>
      </c>
      <c r="S253" s="19"/>
      <c r="U253" s="19"/>
    </row>
    <row r="254" spans="1:21" s="20" customFormat="1" x14ac:dyDescent="0.2">
      <c r="A254" s="10">
        <v>195</v>
      </c>
      <c r="B254" s="11" t="s">
        <v>1114</v>
      </c>
      <c r="C254" s="12" t="s">
        <v>1115</v>
      </c>
      <c r="D254" s="12"/>
      <c r="E254" s="12" t="s">
        <v>1116</v>
      </c>
      <c r="F254" s="13">
        <v>26842</v>
      </c>
      <c r="G254" s="14" t="s">
        <v>1117</v>
      </c>
      <c r="H254" s="11" t="s">
        <v>133</v>
      </c>
      <c r="I254" s="15">
        <v>0</v>
      </c>
      <c r="J254" s="13">
        <v>46451</v>
      </c>
      <c r="K254" s="16" t="s">
        <v>1118</v>
      </c>
      <c r="L254" s="17" t="s">
        <v>1119</v>
      </c>
      <c r="M254" s="18">
        <v>4027.62</v>
      </c>
      <c r="N254" s="19">
        <f t="shared" si="6"/>
        <v>276.80979325758983</v>
      </c>
      <c r="O254" s="19">
        <f t="shared" si="7"/>
        <v>3750.8102067424097</v>
      </c>
      <c r="P254" s="19">
        <f>O254*20%</f>
        <v>750.16204134848203</v>
      </c>
      <c r="S254" s="19"/>
      <c r="U254" s="19"/>
    </row>
    <row r="255" spans="1:21" s="20" customFormat="1" x14ac:dyDescent="0.2">
      <c r="A255" s="10">
        <v>197</v>
      </c>
      <c r="B255" s="11" t="s">
        <v>1120</v>
      </c>
      <c r="C255" s="12"/>
      <c r="D255" s="12"/>
      <c r="E255" s="12" t="s">
        <v>1121</v>
      </c>
      <c r="F255" s="13">
        <v>23849</v>
      </c>
      <c r="G255" s="14" t="s">
        <v>1122</v>
      </c>
      <c r="H255" s="11" t="s">
        <v>34</v>
      </c>
      <c r="I255" s="15">
        <v>0</v>
      </c>
      <c r="J255" s="13">
        <v>46455</v>
      </c>
      <c r="K255" s="16" t="s">
        <v>1123</v>
      </c>
      <c r="L255" s="17" t="s">
        <v>1124</v>
      </c>
      <c r="M255" s="18">
        <v>2117.48</v>
      </c>
      <c r="N255" s="19">
        <f t="shared" si="6"/>
        <v>145.52991618550939</v>
      </c>
      <c r="O255" s="19">
        <f t="shared" si="7"/>
        <v>1971.9500838144904</v>
      </c>
      <c r="P255" s="19">
        <f>O255*20%</f>
        <v>394.39001676289809</v>
      </c>
      <c r="S255" s="19"/>
      <c r="U255" s="19"/>
    </row>
    <row r="256" spans="1:21" s="20" customFormat="1" x14ac:dyDescent="0.2">
      <c r="A256" s="10">
        <v>196</v>
      </c>
      <c r="B256" s="11" t="s">
        <v>1125</v>
      </c>
      <c r="C256" s="12"/>
      <c r="D256" s="12"/>
      <c r="E256" s="12" t="s">
        <v>105</v>
      </c>
      <c r="F256" s="13">
        <v>27055</v>
      </c>
      <c r="G256" s="14" t="s">
        <v>106</v>
      </c>
      <c r="H256" s="11" t="s">
        <v>34</v>
      </c>
      <c r="I256" s="15">
        <v>4</v>
      </c>
      <c r="J256" s="13">
        <v>46456</v>
      </c>
      <c r="K256" s="16" t="s">
        <v>107</v>
      </c>
      <c r="L256" s="17" t="s">
        <v>1126</v>
      </c>
      <c r="M256" s="18">
        <v>685.06</v>
      </c>
      <c r="N256" s="19">
        <f t="shared" si="6"/>
        <v>47.082723039672189</v>
      </c>
      <c r="O256" s="19">
        <f t="shared" si="7"/>
        <v>637.97727696032769</v>
      </c>
      <c r="P256" s="19">
        <f>O256*10%</f>
        <v>63.797727696032773</v>
      </c>
      <c r="S256" s="19"/>
      <c r="U256" s="19"/>
    </row>
    <row r="257" spans="1:21" s="20" customFormat="1" x14ac:dyDescent="0.2">
      <c r="A257" s="10">
        <v>198</v>
      </c>
      <c r="B257" s="11" t="s">
        <v>1127</v>
      </c>
      <c r="C257" s="12"/>
      <c r="D257" s="12" t="s">
        <v>1128</v>
      </c>
      <c r="E257" s="12" t="s">
        <v>1129</v>
      </c>
      <c r="F257" s="13"/>
      <c r="G257" s="14" t="s">
        <v>1130</v>
      </c>
      <c r="H257" s="11" t="s">
        <v>204</v>
      </c>
      <c r="I257" s="15">
        <v>0</v>
      </c>
      <c r="J257" s="13">
        <v>46456</v>
      </c>
      <c r="K257" s="16" t="s">
        <v>1131</v>
      </c>
      <c r="L257" s="17" t="s">
        <v>1132</v>
      </c>
      <c r="M257" s="18">
        <v>4848.3999999999996</v>
      </c>
      <c r="N257" s="19">
        <f t="shared" si="6"/>
        <v>333.22026448128145</v>
      </c>
      <c r="O257" s="19">
        <f t="shared" si="7"/>
        <v>4515.1797355187182</v>
      </c>
      <c r="P257" s="19">
        <f>O257*25%</f>
        <v>1128.7949338796795</v>
      </c>
      <c r="S257" s="19"/>
      <c r="U257" s="19"/>
    </row>
    <row r="258" spans="1:21" s="20" customFormat="1" x14ac:dyDescent="0.2">
      <c r="A258" s="10">
        <v>200</v>
      </c>
      <c r="B258" s="11" t="s">
        <v>1133</v>
      </c>
      <c r="C258" s="12"/>
      <c r="D258" s="12"/>
      <c r="E258" s="12" t="s">
        <v>1134</v>
      </c>
      <c r="F258" s="13"/>
      <c r="G258" s="14" t="s">
        <v>1135</v>
      </c>
      <c r="H258" s="11" t="s">
        <v>204</v>
      </c>
      <c r="I258" s="15">
        <v>0</v>
      </c>
      <c r="J258" s="13">
        <v>46460</v>
      </c>
      <c r="K258" s="16" t="s">
        <v>1136</v>
      </c>
      <c r="L258" s="17" t="s">
        <v>1137</v>
      </c>
      <c r="M258" s="18">
        <v>7191.13</v>
      </c>
      <c r="N258" s="19">
        <f t="shared" ref="N258:N321" si="9">O258*Q$1</f>
        <v>494.23113615198361</v>
      </c>
      <c r="O258" s="19">
        <f t="shared" ref="O258:O321" si="10">M258/(1+$Q$1)</f>
        <v>6696.8988638480159</v>
      </c>
      <c r="P258" s="19">
        <f>O258*25%</f>
        <v>1674.224715962004</v>
      </c>
      <c r="S258" s="19"/>
      <c r="U258" s="19"/>
    </row>
    <row r="259" spans="1:21" s="20" customFormat="1" x14ac:dyDescent="0.2">
      <c r="A259" s="10">
        <v>39</v>
      </c>
      <c r="B259" s="11" t="s">
        <v>1138</v>
      </c>
      <c r="C259" s="12"/>
      <c r="D259" s="12"/>
      <c r="E259" s="12" t="s">
        <v>1139</v>
      </c>
      <c r="F259" s="13">
        <v>24678</v>
      </c>
      <c r="G259" s="14" t="s">
        <v>1140</v>
      </c>
      <c r="H259" s="11" t="s">
        <v>28</v>
      </c>
      <c r="I259" s="15">
        <v>1</v>
      </c>
      <c r="J259" s="13">
        <v>46940</v>
      </c>
      <c r="K259" s="16" t="s">
        <v>1141</v>
      </c>
      <c r="L259" s="17" t="s">
        <v>74</v>
      </c>
      <c r="M259" s="18">
        <v>940.59</v>
      </c>
      <c r="N259" s="19">
        <f t="shared" si="9"/>
        <v>64.644758800521515</v>
      </c>
      <c r="O259" s="19">
        <f t="shared" si="10"/>
        <v>875.94524119947846</v>
      </c>
      <c r="P259" s="19">
        <f t="shared" ref="P259:P322" si="11">O259*10%</f>
        <v>87.594524119947849</v>
      </c>
      <c r="S259" s="19"/>
      <c r="U259" s="19"/>
    </row>
    <row r="260" spans="1:21" s="20" customFormat="1" ht="13" x14ac:dyDescent="0.15">
      <c r="B260" s="11"/>
      <c r="C260" s="12"/>
      <c r="D260" s="12"/>
      <c r="E260" s="12"/>
      <c r="F260" s="13"/>
      <c r="G260" s="11"/>
      <c r="H260" s="11"/>
      <c r="I260" s="15"/>
      <c r="J260" s="13"/>
      <c r="K260" s="24"/>
      <c r="L260" s="17"/>
      <c r="M260" s="18"/>
      <c r="N260" s="19">
        <f t="shared" si="9"/>
        <v>0</v>
      </c>
      <c r="O260" s="19">
        <f t="shared" si="10"/>
        <v>0</v>
      </c>
      <c r="P260" s="19">
        <f t="shared" si="11"/>
        <v>0</v>
      </c>
      <c r="S260" s="19"/>
      <c r="U260" s="19"/>
    </row>
    <row r="261" spans="1:21" s="20" customFormat="1" ht="13" x14ac:dyDescent="0.15">
      <c r="B261" s="11"/>
      <c r="C261" s="12"/>
      <c r="D261" s="12"/>
      <c r="E261" s="12"/>
      <c r="F261" s="13"/>
      <c r="G261" s="11"/>
      <c r="H261" s="11"/>
      <c r="I261" s="15"/>
      <c r="J261" s="13"/>
      <c r="K261" s="24"/>
      <c r="L261" s="17"/>
      <c r="M261" s="18"/>
      <c r="N261" s="19">
        <f t="shared" si="9"/>
        <v>0</v>
      </c>
      <c r="O261" s="19">
        <f t="shared" si="10"/>
        <v>0</v>
      </c>
      <c r="P261" s="19">
        <f t="shared" si="11"/>
        <v>0</v>
      </c>
      <c r="S261" s="19"/>
      <c r="U261" s="19"/>
    </row>
    <row r="262" spans="1:21" s="20" customFormat="1" ht="13" x14ac:dyDescent="0.15">
      <c r="B262" s="11"/>
      <c r="C262" s="12"/>
      <c r="D262" s="12"/>
      <c r="E262" s="12"/>
      <c r="F262" s="13"/>
      <c r="G262" s="11"/>
      <c r="H262" s="11"/>
      <c r="I262" s="15"/>
      <c r="J262" s="13"/>
      <c r="K262" s="24"/>
      <c r="L262" s="17"/>
      <c r="M262" s="18"/>
      <c r="N262" s="19">
        <f t="shared" si="9"/>
        <v>0</v>
      </c>
      <c r="O262" s="19">
        <f t="shared" si="10"/>
        <v>0</v>
      </c>
      <c r="P262" s="19">
        <f t="shared" si="11"/>
        <v>0</v>
      </c>
      <c r="S262" s="19"/>
      <c r="U262" s="19"/>
    </row>
    <row r="263" spans="1:21" s="20" customFormat="1" ht="13" x14ac:dyDescent="0.15">
      <c r="B263" s="11"/>
      <c r="C263" s="12"/>
      <c r="D263" s="12"/>
      <c r="E263" s="12"/>
      <c r="F263" s="13"/>
      <c r="G263" s="11"/>
      <c r="H263" s="11"/>
      <c r="I263" s="15"/>
      <c r="J263" s="13"/>
      <c r="K263" s="24"/>
      <c r="L263" s="17"/>
      <c r="M263" s="18"/>
      <c r="N263" s="19">
        <f t="shared" si="9"/>
        <v>0</v>
      </c>
      <c r="O263" s="19">
        <f t="shared" si="10"/>
        <v>0</v>
      </c>
      <c r="P263" s="19">
        <f t="shared" si="11"/>
        <v>0</v>
      </c>
      <c r="S263" s="19"/>
      <c r="U263" s="19"/>
    </row>
    <row r="264" spans="1:21" s="20" customFormat="1" ht="13" x14ac:dyDescent="0.15">
      <c r="B264" s="11"/>
      <c r="C264" s="12"/>
      <c r="D264" s="12"/>
      <c r="E264" s="12"/>
      <c r="F264" s="13"/>
      <c r="G264" s="11"/>
      <c r="H264" s="11"/>
      <c r="I264" s="15"/>
      <c r="J264" s="13"/>
      <c r="K264" s="24"/>
      <c r="L264" s="17"/>
      <c r="M264" s="18"/>
      <c r="N264" s="19">
        <f t="shared" si="9"/>
        <v>0</v>
      </c>
      <c r="O264" s="19">
        <f t="shared" si="10"/>
        <v>0</v>
      </c>
      <c r="P264" s="19">
        <f t="shared" si="11"/>
        <v>0</v>
      </c>
      <c r="S264" s="19"/>
      <c r="U264" s="19"/>
    </row>
    <row r="265" spans="1:21" s="20" customFormat="1" ht="13" x14ac:dyDescent="0.15">
      <c r="B265" s="11"/>
      <c r="C265" s="12"/>
      <c r="D265" s="12"/>
      <c r="E265" s="12"/>
      <c r="F265" s="13"/>
      <c r="G265" s="11"/>
      <c r="H265" s="11"/>
      <c r="I265" s="15"/>
      <c r="J265" s="13"/>
      <c r="K265" s="24"/>
      <c r="L265" s="17"/>
      <c r="M265" s="18"/>
      <c r="N265" s="19">
        <f t="shared" si="9"/>
        <v>0</v>
      </c>
      <c r="O265" s="19">
        <f t="shared" si="10"/>
        <v>0</v>
      </c>
      <c r="P265" s="19">
        <f t="shared" si="11"/>
        <v>0</v>
      </c>
      <c r="S265" s="19"/>
      <c r="U265" s="19"/>
    </row>
    <row r="266" spans="1:21" s="20" customFormat="1" ht="13" x14ac:dyDescent="0.15">
      <c r="B266" s="11"/>
      <c r="C266" s="12"/>
      <c r="D266" s="12"/>
      <c r="E266" s="12"/>
      <c r="F266" s="13"/>
      <c r="G266" s="11"/>
      <c r="H266" s="11"/>
      <c r="I266" s="15"/>
      <c r="J266" s="13"/>
      <c r="K266" s="24"/>
      <c r="L266" s="17"/>
      <c r="M266" s="18"/>
      <c r="N266" s="19">
        <f t="shared" si="9"/>
        <v>0</v>
      </c>
      <c r="O266" s="19">
        <f t="shared" si="10"/>
        <v>0</v>
      </c>
      <c r="P266" s="19">
        <f t="shared" si="11"/>
        <v>0</v>
      </c>
      <c r="S266" s="19"/>
      <c r="U266" s="19"/>
    </row>
    <row r="267" spans="1:21" s="20" customFormat="1" ht="13" x14ac:dyDescent="0.15">
      <c r="B267" s="11"/>
      <c r="C267" s="12"/>
      <c r="D267" s="12"/>
      <c r="E267" s="12"/>
      <c r="F267" s="13"/>
      <c r="G267" s="11"/>
      <c r="H267" s="11"/>
      <c r="I267" s="15"/>
      <c r="J267" s="13"/>
      <c r="K267" s="24"/>
      <c r="L267" s="17"/>
      <c r="M267" s="18"/>
      <c r="N267" s="19">
        <f t="shared" si="9"/>
        <v>0</v>
      </c>
      <c r="O267" s="19">
        <f t="shared" si="10"/>
        <v>0</v>
      </c>
      <c r="P267" s="19">
        <f t="shared" si="11"/>
        <v>0</v>
      </c>
      <c r="S267" s="19"/>
      <c r="U267" s="19"/>
    </row>
    <row r="268" spans="1:21" s="20" customFormat="1" ht="13" x14ac:dyDescent="0.15">
      <c r="B268" s="11"/>
      <c r="C268" s="12"/>
      <c r="D268" s="12"/>
      <c r="E268" s="12"/>
      <c r="F268" s="13"/>
      <c r="G268" s="11"/>
      <c r="H268" s="11"/>
      <c r="I268" s="15"/>
      <c r="J268" s="13"/>
      <c r="K268" s="24"/>
      <c r="L268" s="17"/>
      <c r="M268" s="18"/>
      <c r="N268" s="19">
        <f t="shared" si="9"/>
        <v>0</v>
      </c>
      <c r="O268" s="19">
        <f t="shared" si="10"/>
        <v>0</v>
      </c>
      <c r="P268" s="19">
        <f t="shared" si="11"/>
        <v>0</v>
      </c>
      <c r="S268" s="19"/>
      <c r="U268" s="19"/>
    </row>
    <row r="269" spans="1:21" s="20" customFormat="1" ht="13" x14ac:dyDescent="0.15">
      <c r="B269" s="11"/>
      <c r="C269" s="12"/>
      <c r="D269" s="12"/>
      <c r="E269" s="12"/>
      <c r="F269" s="13"/>
      <c r="G269" s="11"/>
      <c r="H269" s="11"/>
      <c r="I269" s="15"/>
      <c r="J269" s="13"/>
      <c r="K269" s="24"/>
      <c r="L269" s="17"/>
      <c r="M269" s="18"/>
      <c r="N269" s="19">
        <f t="shared" si="9"/>
        <v>0</v>
      </c>
      <c r="O269" s="19">
        <f t="shared" si="10"/>
        <v>0</v>
      </c>
      <c r="P269" s="19">
        <f t="shared" si="11"/>
        <v>0</v>
      </c>
      <c r="S269" s="19"/>
      <c r="U269" s="19"/>
    </row>
    <row r="270" spans="1:21" s="20" customFormat="1" ht="13" x14ac:dyDescent="0.15">
      <c r="B270" s="11"/>
      <c r="C270" s="12"/>
      <c r="D270" s="12"/>
      <c r="E270" s="12"/>
      <c r="F270" s="13"/>
      <c r="G270" s="11"/>
      <c r="H270" s="11"/>
      <c r="I270" s="15"/>
      <c r="J270" s="13"/>
      <c r="K270" s="24"/>
      <c r="L270" s="17"/>
      <c r="M270" s="18"/>
      <c r="N270" s="19">
        <f t="shared" si="9"/>
        <v>0</v>
      </c>
      <c r="O270" s="19">
        <f t="shared" si="10"/>
        <v>0</v>
      </c>
      <c r="P270" s="19">
        <f t="shared" si="11"/>
        <v>0</v>
      </c>
      <c r="S270" s="19"/>
      <c r="U270" s="19"/>
    </row>
    <row r="271" spans="1:21" s="20" customFormat="1" ht="13" x14ac:dyDescent="0.15">
      <c r="B271" s="11"/>
      <c r="C271" s="12"/>
      <c r="D271" s="12"/>
      <c r="E271" s="12"/>
      <c r="F271" s="13"/>
      <c r="G271" s="11"/>
      <c r="H271" s="11"/>
      <c r="I271" s="15"/>
      <c r="J271" s="13"/>
      <c r="K271" s="24"/>
      <c r="L271" s="17"/>
      <c r="M271" s="18"/>
      <c r="N271" s="19">
        <f t="shared" si="9"/>
        <v>0</v>
      </c>
      <c r="O271" s="19">
        <f t="shared" si="10"/>
        <v>0</v>
      </c>
      <c r="P271" s="19">
        <f t="shared" si="11"/>
        <v>0</v>
      </c>
      <c r="S271" s="19"/>
      <c r="U271" s="19"/>
    </row>
    <row r="272" spans="1:21" s="20" customFormat="1" ht="13" x14ac:dyDescent="0.15">
      <c r="B272" s="11"/>
      <c r="C272" s="12"/>
      <c r="D272" s="12"/>
      <c r="E272" s="12"/>
      <c r="F272" s="13"/>
      <c r="G272" s="11"/>
      <c r="H272" s="11"/>
      <c r="I272" s="15"/>
      <c r="J272" s="13"/>
      <c r="K272" s="24"/>
      <c r="L272" s="17"/>
      <c r="M272" s="18"/>
      <c r="N272" s="19">
        <f t="shared" si="9"/>
        <v>0</v>
      </c>
      <c r="O272" s="19">
        <f t="shared" si="10"/>
        <v>0</v>
      </c>
      <c r="P272" s="19">
        <f t="shared" si="11"/>
        <v>0</v>
      </c>
      <c r="S272" s="19"/>
      <c r="U272" s="19"/>
    </row>
    <row r="273" spans="2:21" s="20" customFormat="1" ht="13" x14ac:dyDescent="0.15">
      <c r="B273" s="11"/>
      <c r="C273" s="12"/>
      <c r="D273" s="12"/>
      <c r="E273" s="12"/>
      <c r="F273" s="13"/>
      <c r="G273" s="11"/>
      <c r="H273" s="11"/>
      <c r="I273" s="15"/>
      <c r="J273" s="13"/>
      <c r="K273" s="24"/>
      <c r="L273" s="17"/>
      <c r="M273" s="18"/>
      <c r="N273" s="19">
        <f t="shared" si="9"/>
        <v>0</v>
      </c>
      <c r="O273" s="19">
        <f t="shared" si="10"/>
        <v>0</v>
      </c>
      <c r="P273" s="19">
        <f t="shared" si="11"/>
        <v>0</v>
      </c>
      <c r="S273" s="19"/>
      <c r="U273" s="19"/>
    </row>
    <row r="274" spans="2:21" s="20" customFormat="1" ht="13" x14ac:dyDescent="0.15">
      <c r="B274" s="11"/>
      <c r="C274" s="12"/>
      <c r="D274" s="12"/>
      <c r="E274" s="12"/>
      <c r="F274" s="13"/>
      <c r="G274" s="11"/>
      <c r="H274" s="11"/>
      <c r="I274" s="15"/>
      <c r="J274" s="13"/>
      <c r="K274" s="24"/>
      <c r="L274" s="17"/>
      <c r="M274" s="18"/>
      <c r="N274" s="19">
        <f t="shared" si="9"/>
        <v>0</v>
      </c>
      <c r="O274" s="19">
        <f t="shared" si="10"/>
        <v>0</v>
      </c>
      <c r="P274" s="19">
        <f t="shared" si="11"/>
        <v>0</v>
      </c>
      <c r="S274" s="19"/>
      <c r="U274" s="19"/>
    </row>
    <row r="275" spans="2:21" s="20" customFormat="1" ht="13" x14ac:dyDescent="0.15">
      <c r="B275" s="11"/>
      <c r="C275" s="12"/>
      <c r="D275" s="12"/>
      <c r="E275" s="12"/>
      <c r="F275" s="13"/>
      <c r="G275" s="11"/>
      <c r="H275" s="11"/>
      <c r="I275" s="15"/>
      <c r="J275" s="13"/>
      <c r="K275" s="24"/>
      <c r="L275" s="17"/>
      <c r="M275" s="18"/>
      <c r="N275" s="19">
        <f t="shared" si="9"/>
        <v>0</v>
      </c>
      <c r="O275" s="19">
        <f t="shared" si="10"/>
        <v>0</v>
      </c>
      <c r="P275" s="19">
        <f t="shared" si="11"/>
        <v>0</v>
      </c>
      <c r="S275" s="19"/>
      <c r="U275" s="19"/>
    </row>
    <row r="276" spans="2:21" s="20" customFormat="1" ht="13" x14ac:dyDescent="0.15">
      <c r="B276" s="11"/>
      <c r="C276" s="12"/>
      <c r="D276" s="12"/>
      <c r="E276" s="12"/>
      <c r="F276" s="13"/>
      <c r="G276" s="11"/>
      <c r="H276" s="11"/>
      <c r="I276" s="15"/>
      <c r="J276" s="13"/>
      <c r="K276" s="24"/>
      <c r="L276" s="17"/>
      <c r="M276" s="18"/>
      <c r="N276" s="19">
        <f t="shared" si="9"/>
        <v>0</v>
      </c>
      <c r="O276" s="19">
        <f t="shared" si="10"/>
        <v>0</v>
      </c>
      <c r="P276" s="19">
        <f t="shared" si="11"/>
        <v>0</v>
      </c>
      <c r="S276" s="19"/>
      <c r="U276" s="19"/>
    </row>
    <row r="277" spans="2:21" s="20" customFormat="1" ht="13" x14ac:dyDescent="0.15">
      <c r="B277" s="11"/>
      <c r="C277" s="12"/>
      <c r="D277" s="12"/>
      <c r="E277" s="12"/>
      <c r="F277" s="13"/>
      <c r="G277" s="11"/>
      <c r="H277" s="11"/>
      <c r="I277" s="15"/>
      <c r="J277" s="13"/>
      <c r="K277" s="24"/>
      <c r="L277" s="17"/>
      <c r="M277" s="18"/>
      <c r="N277" s="19">
        <f t="shared" si="9"/>
        <v>0</v>
      </c>
      <c r="O277" s="19">
        <f t="shared" si="10"/>
        <v>0</v>
      </c>
      <c r="P277" s="19">
        <f t="shared" si="11"/>
        <v>0</v>
      </c>
      <c r="S277" s="19"/>
      <c r="U277" s="19"/>
    </row>
    <row r="278" spans="2:21" s="20" customFormat="1" ht="13" x14ac:dyDescent="0.15">
      <c r="B278" s="11"/>
      <c r="C278" s="12"/>
      <c r="D278" s="12"/>
      <c r="E278" s="12"/>
      <c r="F278" s="13"/>
      <c r="G278" s="11"/>
      <c r="H278" s="11"/>
      <c r="I278" s="15"/>
      <c r="J278" s="13"/>
      <c r="K278" s="24"/>
      <c r="L278" s="17"/>
      <c r="M278" s="18"/>
      <c r="N278" s="19">
        <f t="shared" si="9"/>
        <v>0</v>
      </c>
      <c r="O278" s="19">
        <f t="shared" si="10"/>
        <v>0</v>
      </c>
      <c r="P278" s="19">
        <f t="shared" si="11"/>
        <v>0</v>
      </c>
      <c r="S278" s="19"/>
      <c r="U278" s="19"/>
    </row>
    <row r="279" spans="2:21" s="20" customFormat="1" ht="13" x14ac:dyDescent="0.15">
      <c r="B279" s="11"/>
      <c r="C279" s="12"/>
      <c r="D279" s="12"/>
      <c r="E279" s="12"/>
      <c r="F279" s="13"/>
      <c r="G279" s="11"/>
      <c r="H279" s="11"/>
      <c r="I279" s="15"/>
      <c r="J279" s="13"/>
      <c r="K279" s="24"/>
      <c r="L279" s="17"/>
      <c r="M279" s="18"/>
      <c r="N279" s="19">
        <f t="shared" si="9"/>
        <v>0</v>
      </c>
      <c r="O279" s="19">
        <f t="shared" si="10"/>
        <v>0</v>
      </c>
      <c r="P279" s="19">
        <f t="shared" si="11"/>
        <v>0</v>
      </c>
      <c r="S279" s="19"/>
      <c r="U279" s="19"/>
    </row>
    <row r="280" spans="2:21" s="20" customFormat="1" ht="13" x14ac:dyDescent="0.15">
      <c r="B280" s="11"/>
      <c r="C280" s="12"/>
      <c r="D280" s="12"/>
      <c r="E280" s="12"/>
      <c r="F280" s="13"/>
      <c r="G280" s="11"/>
      <c r="H280" s="11"/>
      <c r="I280" s="15"/>
      <c r="J280" s="13"/>
      <c r="K280" s="24"/>
      <c r="L280" s="17"/>
      <c r="M280" s="18"/>
      <c r="N280" s="19">
        <f t="shared" si="9"/>
        <v>0</v>
      </c>
      <c r="O280" s="19">
        <f t="shared" si="10"/>
        <v>0</v>
      </c>
      <c r="P280" s="19">
        <f t="shared" si="11"/>
        <v>0</v>
      </c>
      <c r="S280" s="19"/>
      <c r="U280" s="19"/>
    </row>
    <row r="281" spans="2:21" s="20" customFormat="1" ht="13" x14ac:dyDescent="0.15">
      <c r="B281" s="11"/>
      <c r="C281" s="12"/>
      <c r="D281" s="12"/>
      <c r="E281" s="12"/>
      <c r="F281" s="13"/>
      <c r="G281" s="11"/>
      <c r="H281" s="11"/>
      <c r="I281" s="15"/>
      <c r="J281" s="13"/>
      <c r="K281" s="24"/>
      <c r="L281" s="17"/>
      <c r="M281" s="18"/>
      <c r="N281" s="19">
        <f t="shared" si="9"/>
        <v>0</v>
      </c>
      <c r="O281" s="19">
        <f t="shared" si="10"/>
        <v>0</v>
      </c>
      <c r="P281" s="19">
        <f t="shared" si="11"/>
        <v>0</v>
      </c>
      <c r="S281" s="19"/>
      <c r="U281" s="19"/>
    </row>
    <row r="282" spans="2:21" s="20" customFormat="1" ht="13" x14ac:dyDescent="0.15">
      <c r="B282" s="11"/>
      <c r="C282" s="12"/>
      <c r="D282" s="12"/>
      <c r="E282" s="12"/>
      <c r="F282" s="13"/>
      <c r="G282" s="11"/>
      <c r="H282" s="11"/>
      <c r="I282" s="15"/>
      <c r="J282" s="13"/>
      <c r="K282" s="24"/>
      <c r="L282" s="17"/>
      <c r="M282" s="18"/>
      <c r="N282" s="19">
        <f t="shared" si="9"/>
        <v>0</v>
      </c>
      <c r="O282" s="19">
        <f t="shared" si="10"/>
        <v>0</v>
      </c>
      <c r="P282" s="19">
        <f t="shared" si="11"/>
        <v>0</v>
      </c>
      <c r="S282" s="19"/>
      <c r="U282" s="19"/>
    </row>
    <row r="283" spans="2:21" s="20" customFormat="1" ht="13" x14ac:dyDescent="0.15">
      <c r="B283" s="11"/>
      <c r="C283" s="12"/>
      <c r="D283" s="12"/>
      <c r="E283" s="12"/>
      <c r="F283" s="13"/>
      <c r="G283" s="11"/>
      <c r="H283" s="11"/>
      <c r="I283" s="15"/>
      <c r="J283" s="13"/>
      <c r="K283" s="24"/>
      <c r="L283" s="17"/>
      <c r="M283" s="18"/>
      <c r="N283" s="19">
        <f t="shared" si="9"/>
        <v>0</v>
      </c>
      <c r="O283" s="19">
        <f t="shared" si="10"/>
        <v>0</v>
      </c>
      <c r="P283" s="19">
        <f t="shared" si="11"/>
        <v>0</v>
      </c>
      <c r="S283" s="19"/>
      <c r="U283" s="19"/>
    </row>
    <row r="284" spans="2:21" s="20" customFormat="1" ht="13" x14ac:dyDescent="0.15">
      <c r="B284" s="11"/>
      <c r="C284" s="12"/>
      <c r="D284" s="12"/>
      <c r="E284" s="12"/>
      <c r="F284" s="13"/>
      <c r="G284" s="11"/>
      <c r="H284" s="11"/>
      <c r="I284" s="15"/>
      <c r="J284" s="13"/>
      <c r="K284" s="24"/>
      <c r="L284" s="17"/>
      <c r="M284" s="18"/>
      <c r="N284" s="19">
        <f t="shared" si="9"/>
        <v>0</v>
      </c>
      <c r="O284" s="19">
        <f t="shared" si="10"/>
        <v>0</v>
      </c>
      <c r="P284" s="19">
        <f t="shared" si="11"/>
        <v>0</v>
      </c>
      <c r="S284" s="19"/>
      <c r="U284" s="19"/>
    </row>
    <row r="285" spans="2:21" s="20" customFormat="1" ht="13" x14ac:dyDescent="0.15">
      <c r="B285" s="11"/>
      <c r="C285" s="12"/>
      <c r="D285" s="12"/>
      <c r="E285" s="12"/>
      <c r="F285" s="13"/>
      <c r="G285" s="11"/>
      <c r="H285" s="11"/>
      <c r="I285" s="15"/>
      <c r="J285" s="13"/>
      <c r="K285" s="24"/>
      <c r="L285" s="17"/>
      <c r="M285" s="18"/>
      <c r="N285" s="19">
        <f t="shared" si="9"/>
        <v>0</v>
      </c>
      <c r="O285" s="19">
        <f t="shared" si="10"/>
        <v>0</v>
      </c>
      <c r="P285" s="19">
        <f t="shared" si="11"/>
        <v>0</v>
      </c>
      <c r="S285" s="19"/>
      <c r="U285" s="19"/>
    </row>
    <row r="286" spans="2:21" s="20" customFormat="1" ht="13" x14ac:dyDescent="0.15">
      <c r="B286" s="11"/>
      <c r="C286" s="12"/>
      <c r="D286" s="12"/>
      <c r="E286" s="12"/>
      <c r="F286" s="13"/>
      <c r="G286" s="11"/>
      <c r="H286" s="11"/>
      <c r="I286" s="15"/>
      <c r="J286" s="13"/>
      <c r="K286" s="24"/>
      <c r="L286" s="17"/>
      <c r="M286" s="18"/>
      <c r="N286" s="19">
        <f t="shared" si="9"/>
        <v>0</v>
      </c>
      <c r="O286" s="19">
        <f t="shared" si="10"/>
        <v>0</v>
      </c>
      <c r="P286" s="19">
        <f t="shared" si="11"/>
        <v>0</v>
      </c>
      <c r="S286" s="19"/>
      <c r="U286" s="19"/>
    </row>
    <row r="287" spans="2:21" s="20" customFormat="1" ht="13" x14ac:dyDescent="0.15">
      <c r="B287" s="11"/>
      <c r="C287" s="12"/>
      <c r="D287" s="12"/>
      <c r="E287" s="12"/>
      <c r="F287" s="13"/>
      <c r="G287" s="11"/>
      <c r="H287" s="11"/>
      <c r="I287" s="15"/>
      <c r="J287" s="13"/>
      <c r="K287" s="24"/>
      <c r="L287" s="17"/>
      <c r="M287" s="18"/>
      <c r="N287" s="19">
        <f t="shared" si="9"/>
        <v>0</v>
      </c>
      <c r="O287" s="19">
        <f t="shared" si="10"/>
        <v>0</v>
      </c>
      <c r="P287" s="19">
        <f t="shared" si="11"/>
        <v>0</v>
      </c>
      <c r="S287" s="19"/>
      <c r="U287" s="19"/>
    </row>
    <row r="288" spans="2:21" s="20" customFormat="1" ht="13" x14ac:dyDescent="0.15">
      <c r="B288" s="11"/>
      <c r="C288" s="12"/>
      <c r="D288" s="12"/>
      <c r="E288" s="12"/>
      <c r="F288" s="13"/>
      <c r="G288" s="11"/>
      <c r="H288" s="11"/>
      <c r="I288" s="15"/>
      <c r="J288" s="13"/>
      <c r="K288" s="24"/>
      <c r="L288" s="17"/>
      <c r="M288" s="18"/>
      <c r="N288" s="19">
        <f t="shared" si="9"/>
        <v>0</v>
      </c>
      <c r="O288" s="19">
        <f t="shared" si="10"/>
        <v>0</v>
      </c>
      <c r="P288" s="19">
        <f t="shared" si="11"/>
        <v>0</v>
      </c>
      <c r="S288" s="19"/>
      <c r="U288" s="19"/>
    </row>
    <row r="289" spans="2:21" s="20" customFormat="1" ht="13" x14ac:dyDescent="0.15">
      <c r="B289" s="11"/>
      <c r="C289" s="12"/>
      <c r="D289" s="12"/>
      <c r="E289" s="12"/>
      <c r="F289" s="13"/>
      <c r="G289" s="11"/>
      <c r="H289" s="11"/>
      <c r="I289" s="15"/>
      <c r="J289" s="13"/>
      <c r="K289" s="24"/>
      <c r="L289" s="17"/>
      <c r="M289" s="18"/>
      <c r="N289" s="19">
        <f t="shared" si="9"/>
        <v>0</v>
      </c>
      <c r="O289" s="19">
        <f t="shared" si="10"/>
        <v>0</v>
      </c>
      <c r="P289" s="19">
        <f t="shared" si="11"/>
        <v>0</v>
      </c>
      <c r="S289" s="19"/>
      <c r="U289" s="19"/>
    </row>
    <row r="290" spans="2:21" s="20" customFormat="1" ht="13" x14ac:dyDescent="0.15">
      <c r="B290" s="11"/>
      <c r="C290" s="12"/>
      <c r="D290" s="12"/>
      <c r="E290" s="12"/>
      <c r="F290" s="13"/>
      <c r="G290" s="11"/>
      <c r="H290" s="11"/>
      <c r="I290" s="15"/>
      <c r="J290" s="13"/>
      <c r="K290" s="24"/>
      <c r="L290" s="17"/>
      <c r="M290" s="18"/>
      <c r="N290" s="19">
        <f t="shared" si="9"/>
        <v>0</v>
      </c>
      <c r="O290" s="19">
        <f t="shared" si="10"/>
        <v>0</v>
      </c>
      <c r="P290" s="19">
        <f t="shared" si="11"/>
        <v>0</v>
      </c>
      <c r="S290" s="19"/>
      <c r="U290" s="19"/>
    </row>
    <row r="291" spans="2:21" s="20" customFormat="1" ht="13" x14ac:dyDescent="0.15">
      <c r="B291" s="11"/>
      <c r="C291" s="12"/>
      <c r="D291" s="12"/>
      <c r="E291" s="12"/>
      <c r="F291" s="13"/>
      <c r="G291" s="11"/>
      <c r="H291" s="11"/>
      <c r="I291" s="15"/>
      <c r="J291" s="13"/>
      <c r="K291" s="24"/>
      <c r="L291" s="17"/>
      <c r="M291" s="18"/>
      <c r="N291" s="19">
        <f t="shared" si="9"/>
        <v>0</v>
      </c>
      <c r="O291" s="19">
        <f t="shared" si="10"/>
        <v>0</v>
      </c>
      <c r="P291" s="19">
        <f t="shared" si="11"/>
        <v>0</v>
      </c>
      <c r="S291" s="19"/>
      <c r="U291" s="19"/>
    </row>
    <row r="292" spans="2:21" s="20" customFormat="1" ht="13" x14ac:dyDescent="0.15">
      <c r="B292" s="11"/>
      <c r="C292" s="12"/>
      <c r="D292" s="12"/>
      <c r="E292" s="12"/>
      <c r="F292" s="13"/>
      <c r="G292" s="11"/>
      <c r="H292" s="11"/>
      <c r="I292" s="15"/>
      <c r="J292" s="13"/>
      <c r="K292" s="24"/>
      <c r="L292" s="17"/>
      <c r="M292" s="18"/>
      <c r="N292" s="19">
        <f t="shared" si="9"/>
        <v>0</v>
      </c>
      <c r="O292" s="19">
        <f t="shared" si="10"/>
        <v>0</v>
      </c>
      <c r="P292" s="19">
        <f t="shared" si="11"/>
        <v>0</v>
      </c>
      <c r="S292" s="19"/>
      <c r="U292" s="19"/>
    </row>
    <row r="293" spans="2:21" s="20" customFormat="1" ht="13" x14ac:dyDescent="0.15">
      <c r="B293" s="11"/>
      <c r="C293" s="12"/>
      <c r="D293" s="12"/>
      <c r="E293" s="12"/>
      <c r="F293" s="13"/>
      <c r="G293" s="11"/>
      <c r="H293" s="11"/>
      <c r="I293" s="15"/>
      <c r="J293" s="13"/>
      <c r="K293" s="24"/>
      <c r="L293" s="17"/>
      <c r="M293" s="18"/>
      <c r="N293" s="19">
        <f t="shared" si="9"/>
        <v>0</v>
      </c>
      <c r="O293" s="19">
        <f t="shared" si="10"/>
        <v>0</v>
      </c>
      <c r="P293" s="19">
        <f t="shared" si="11"/>
        <v>0</v>
      </c>
      <c r="S293" s="19"/>
      <c r="U293" s="19"/>
    </row>
    <row r="294" spans="2:21" s="20" customFormat="1" ht="13" x14ac:dyDescent="0.15">
      <c r="B294" s="11"/>
      <c r="C294" s="12"/>
      <c r="D294" s="12"/>
      <c r="E294" s="12"/>
      <c r="F294" s="13"/>
      <c r="G294" s="11"/>
      <c r="H294" s="11"/>
      <c r="I294" s="15"/>
      <c r="J294" s="13"/>
      <c r="K294" s="24"/>
      <c r="L294" s="17"/>
      <c r="M294" s="18"/>
      <c r="N294" s="19">
        <f t="shared" si="9"/>
        <v>0</v>
      </c>
      <c r="O294" s="19">
        <f t="shared" si="10"/>
        <v>0</v>
      </c>
      <c r="P294" s="19">
        <f t="shared" si="11"/>
        <v>0</v>
      </c>
      <c r="S294" s="19"/>
      <c r="U294" s="19"/>
    </row>
    <row r="295" spans="2:21" s="20" customFormat="1" ht="13" x14ac:dyDescent="0.15">
      <c r="B295" s="11"/>
      <c r="C295" s="12"/>
      <c r="D295" s="12"/>
      <c r="E295" s="12"/>
      <c r="F295" s="13"/>
      <c r="G295" s="11"/>
      <c r="H295" s="11"/>
      <c r="I295" s="15"/>
      <c r="J295" s="13"/>
      <c r="K295" s="24"/>
      <c r="L295" s="17"/>
      <c r="M295" s="18"/>
      <c r="N295" s="19">
        <f t="shared" si="9"/>
        <v>0</v>
      </c>
      <c r="O295" s="19">
        <f t="shared" si="10"/>
        <v>0</v>
      </c>
      <c r="P295" s="19">
        <f t="shared" si="11"/>
        <v>0</v>
      </c>
      <c r="S295" s="19"/>
      <c r="U295" s="19"/>
    </row>
    <row r="296" spans="2:21" s="20" customFormat="1" ht="13" x14ac:dyDescent="0.15">
      <c r="B296" s="11"/>
      <c r="C296" s="12"/>
      <c r="D296" s="12"/>
      <c r="E296" s="12"/>
      <c r="F296" s="13"/>
      <c r="G296" s="11"/>
      <c r="H296" s="11"/>
      <c r="I296" s="15"/>
      <c r="J296" s="13"/>
      <c r="K296" s="24"/>
      <c r="L296" s="17"/>
      <c r="M296" s="18"/>
      <c r="N296" s="19">
        <f t="shared" si="9"/>
        <v>0</v>
      </c>
      <c r="O296" s="19">
        <f t="shared" si="10"/>
        <v>0</v>
      </c>
      <c r="P296" s="19">
        <f t="shared" si="11"/>
        <v>0</v>
      </c>
      <c r="S296" s="19"/>
      <c r="U296" s="19"/>
    </row>
    <row r="297" spans="2:21" s="20" customFormat="1" ht="13" x14ac:dyDescent="0.15">
      <c r="B297" s="11"/>
      <c r="C297" s="12"/>
      <c r="D297" s="12"/>
      <c r="E297" s="12"/>
      <c r="F297" s="13"/>
      <c r="G297" s="11"/>
      <c r="H297" s="11"/>
      <c r="I297" s="15"/>
      <c r="J297" s="13"/>
      <c r="K297" s="24"/>
      <c r="L297" s="17"/>
      <c r="M297" s="18"/>
      <c r="N297" s="19">
        <f t="shared" si="9"/>
        <v>0</v>
      </c>
      <c r="O297" s="19">
        <f t="shared" si="10"/>
        <v>0</v>
      </c>
      <c r="P297" s="19">
        <f t="shared" si="11"/>
        <v>0</v>
      </c>
      <c r="S297" s="19"/>
      <c r="U297" s="19"/>
    </row>
    <row r="298" spans="2:21" s="20" customFormat="1" ht="13" x14ac:dyDescent="0.15">
      <c r="B298" s="11"/>
      <c r="C298" s="12"/>
      <c r="D298" s="12"/>
      <c r="E298" s="12"/>
      <c r="F298" s="13"/>
      <c r="G298" s="11"/>
      <c r="H298" s="11"/>
      <c r="I298" s="15"/>
      <c r="J298" s="13"/>
      <c r="K298" s="24"/>
      <c r="L298" s="17"/>
      <c r="M298" s="18"/>
      <c r="N298" s="19">
        <f t="shared" si="9"/>
        <v>0</v>
      </c>
      <c r="O298" s="19">
        <f t="shared" si="10"/>
        <v>0</v>
      </c>
      <c r="P298" s="19">
        <f t="shared" si="11"/>
        <v>0</v>
      </c>
      <c r="S298" s="19"/>
      <c r="U298" s="19"/>
    </row>
    <row r="299" spans="2:21" s="20" customFormat="1" ht="13" x14ac:dyDescent="0.15">
      <c r="B299" s="11"/>
      <c r="C299" s="12"/>
      <c r="D299" s="12"/>
      <c r="E299" s="12"/>
      <c r="F299" s="13"/>
      <c r="G299" s="11"/>
      <c r="H299" s="11"/>
      <c r="I299" s="15"/>
      <c r="J299" s="13"/>
      <c r="K299" s="24"/>
      <c r="L299" s="17"/>
      <c r="M299" s="18"/>
      <c r="N299" s="19">
        <f t="shared" si="9"/>
        <v>0</v>
      </c>
      <c r="O299" s="19">
        <f t="shared" si="10"/>
        <v>0</v>
      </c>
      <c r="P299" s="19">
        <f t="shared" si="11"/>
        <v>0</v>
      </c>
      <c r="S299" s="19"/>
      <c r="U299" s="19"/>
    </row>
    <row r="300" spans="2:21" s="20" customFormat="1" ht="13" x14ac:dyDescent="0.15">
      <c r="B300" s="11"/>
      <c r="C300" s="12"/>
      <c r="D300" s="12"/>
      <c r="E300" s="12"/>
      <c r="F300" s="13"/>
      <c r="G300" s="11"/>
      <c r="H300" s="11"/>
      <c r="I300" s="15"/>
      <c r="J300" s="13"/>
      <c r="K300" s="24"/>
      <c r="L300" s="17"/>
      <c r="M300" s="18"/>
      <c r="N300" s="19">
        <f t="shared" si="9"/>
        <v>0</v>
      </c>
      <c r="O300" s="19">
        <f t="shared" si="10"/>
        <v>0</v>
      </c>
      <c r="P300" s="19">
        <f t="shared" si="11"/>
        <v>0</v>
      </c>
      <c r="S300" s="19"/>
      <c r="U300" s="19"/>
    </row>
    <row r="301" spans="2:21" s="20" customFormat="1" ht="13" x14ac:dyDescent="0.15">
      <c r="B301" s="11"/>
      <c r="C301" s="12"/>
      <c r="D301" s="12"/>
      <c r="E301" s="12"/>
      <c r="F301" s="13"/>
      <c r="G301" s="11"/>
      <c r="H301" s="11"/>
      <c r="I301" s="15"/>
      <c r="J301" s="13"/>
      <c r="K301" s="24"/>
      <c r="L301" s="17"/>
      <c r="M301" s="18"/>
      <c r="N301" s="19">
        <f t="shared" si="9"/>
        <v>0</v>
      </c>
      <c r="O301" s="19">
        <f t="shared" si="10"/>
        <v>0</v>
      </c>
      <c r="P301" s="19">
        <f t="shared" si="11"/>
        <v>0</v>
      </c>
      <c r="S301" s="19"/>
      <c r="U301" s="19"/>
    </row>
    <row r="302" spans="2:21" s="20" customFormat="1" ht="13" x14ac:dyDescent="0.15">
      <c r="B302" s="11"/>
      <c r="C302" s="12"/>
      <c r="D302" s="12"/>
      <c r="E302" s="12"/>
      <c r="F302" s="13"/>
      <c r="G302" s="11"/>
      <c r="H302" s="11"/>
      <c r="I302" s="15"/>
      <c r="J302" s="13"/>
      <c r="K302" s="24"/>
      <c r="L302" s="17"/>
      <c r="M302" s="18"/>
      <c r="N302" s="19">
        <f t="shared" si="9"/>
        <v>0</v>
      </c>
      <c r="O302" s="19">
        <f t="shared" si="10"/>
        <v>0</v>
      </c>
      <c r="P302" s="19">
        <f t="shared" si="11"/>
        <v>0</v>
      </c>
      <c r="S302" s="19"/>
      <c r="U302" s="19"/>
    </row>
    <row r="303" spans="2:21" s="20" customFormat="1" ht="13" x14ac:dyDescent="0.15">
      <c r="B303" s="11"/>
      <c r="C303" s="12"/>
      <c r="D303" s="12"/>
      <c r="E303" s="12"/>
      <c r="F303" s="13"/>
      <c r="G303" s="11"/>
      <c r="H303" s="11"/>
      <c r="I303" s="15"/>
      <c r="J303" s="13"/>
      <c r="K303" s="24"/>
      <c r="L303" s="17"/>
      <c r="M303" s="18"/>
      <c r="N303" s="19">
        <f t="shared" si="9"/>
        <v>0</v>
      </c>
      <c r="O303" s="19">
        <f t="shared" si="10"/>
        <v>0</v>
      </c>
      <c r="P303" s="19">
        <f t="shared" si="11"/>
        <v>0</v>
      </c>
      <c r="S303" s="19"/>
      <c r="U303" s="19"/>
    </row>
    <row r="304" spans="2:21" s="20" customFormat="1" ht="13" x14ac:dyDescent="0.15">
      <c r="B304" s="11"/>
      <c r="C304" s="12"/>
      <c r="D304" s="12"/>
      <c r="E304" s="12"/>
      <c r="F304" s="13"/>
      <c r="G304" s="11"/>
      <c r="H304" s="11"/>
      <c r="I304" s="15"/>
      <c r="J304" s="13"/>
      <c r="K304" s="24"/>
      <c r="L304" s="17"/>
      <c r="M304" s="18"/>
      <c r="N304" s="19">
        <f t="shared" si="9"/>
        <v>0</v>
      </c>
      <c r="O304" s="19">
        <f t="shared" si="10"/>
        <v>0</v>
      </c>
      <c r="P304" s="19">
        <f t="shared" si="11"/>
        <v>0</v>
      </c>
      <c r="S304" s="19"/>
      <c r="U304" s="19"/>
    </row>
    <row r="305" spans="2:21" s="20" customFormat="1" ht="13" x14ac:dyDescent="0.15">
      <c r="B305" s="11"/>
      <c r="C305" s="12"/>
      <c r="D305" s="12"/>
      <c r="E305" s="12"/>
      <c r="F305" s="13"/>
      <c r="G305" s="11"/>
      <c r="H305" s="11"/>
      <c r="I305" s="15"/>
      <c r="J305" s="13"/>
      <c r="K305" s="24"/>
      <c r="L305" s="17"/>
      <c r="M305" s="18"/>
      <c r="N305" s="19">
        <f t="shared" si="9"/>
        <v>0</v>
      </c>
      <c r="O305" s="19">
        <f t="shared" si="10"/>
        <v>0</v>
      </c>
      <c r="P305" s="19">
        <f t="shared" si="11"/>
        <v>0</v>
      </c>
      <c r="S305" s="19"/>
      <c r="U305" s="19"/>
    </row>
    <row r="306" spans="2:21" s="20" customFormat="1" ht="13" x14ac:dyDescent="0.15">
      <c r="B306" s="11"/>
      <c r="C306" s="12"/>
      <c r="D306" s="12"/>
      <c r="E306" s="12"/>
      <c r="F306" s="13"/>
      <c r="G306" s="11"/>
      <c r="H306" s="11"/>
      <c r="I306" s="15"/>
      <c r="J306" s="13"/>
      <c r="K306" s="24"/>
      <c r="L306" s="17"/>
      <c r="M306" s="18"/>
      <c r="N306" s="19">
        <f t="shared" si="9"/>
        <v>0</v>
      </c>
      <c r="O306" s="19">
        <f t="shared" si="10"/>
        <v>0</v>
      </c>
      <c r="P306" s="19">
        <f t="shared" si="11"/>
        <v>0</v>
      </c>
      <c r="S306" s="19"/>
      <c r="U306" s="19"/>
    </row>
    <row r="307" spans="2:21" s="20" customFormat="1" ht="13" x14ac:dyDescent="0.15">
      <c r="B307" s="11"/>
      <c r="C307" s="12"/>
      <c r="D307" s="12"/>
      <c r="E307" s="12"/>
      <c r="F307" s="13"/>
      <c r="G307" s="11"/>
      <c r="H307" s="11"/>
      <c r="I307" s="15"/>
      <c r="J307" s="13"/>
      <c r="K307" s="24"/>
      <c r="L307" s="17"/>
      <c r="M307" s="18"/>
      <c r="N307" s="19">
        <f t="shared" si="9"/>
        <v>0</v>
      </c>
      <c r="O307" s="19">
        <f t="shared" si="10"/>
        <v>0</v>
      </c>
      <c r="P307" s="19">
        <f t="shared" si="11"/>
        <v>0</v>
      </c>
      <c r="S307" s="19"/>
      <c r="U307" s="19"/>
    </row>
    <row r="308" spans="2:21" s="20" customFormat="1" ht="13" x14ac:dyDescent="0.15">
      <c r="B308" s="11"/>
      <c r="C308" s="12"/>
      <c r="D308" s="12"/>
      <c r="E308" s="12"/>
      <c r="F308" s="13"/>
      <c r="G308" s="11"/>
      <c r="H308" s="11"/>
      <c r="I308" s="15"/>
      <c r="J308" s="13"/>
      <c r="K308" s="24"/>
      <c r="L308" s="17"/>
      <c r="M308" s="18"/>
      <c r="N308" s="19">
        <f t="shared" si="9"/>
        <v>0</v>
      </c>
      <c r="O308" s="19">
        <f t="shared" si="10"/>
        <v>0</v>
      </c>
      <c r="P308" s="19">
        <f t="shared" si="11"/>
        <v>0</v>
      </c>
      <c r="S308" s="19"/>
      <c r="U308" s="19"/>
    </row>
    <row r="309" spans="2:21" s="20" customFormat="1" ht="13" x14ac:dyDescent="0.15">
      <c r="B309" s="11"/>
      <c r="C309" s="12"/>
      <c r="D309" s="12"/>
      <c r="E309" s="12"/>
      <c r="F309" s="13"/>
      <c r="G309" s="11"/>
      <c r="H309" s="11"/>
      <c r="I309" s="15"/>
      <c r="J309" s="13"/>
      <c r="K309" s="24"/>
      <c r="L309" s="17"/>
      <c r="M309" s="18"/>
      <c r="N309" s="19">
        <f t="shared" si="9"/>
        <v>0</v>
      </c>
      <c r="O309" s="19">
        <f t="shared" si="10"/>
        <v>0</v>
      </c>
      <c r="P309" s="19">
        <f t="shared" si="11"/>
        <v>0</v>
      </c>
      <c r="S309" s="19"/>
      <c r="U309" s="19"/>
    </row>
    <row r="310" spans="2:21" s="20" customFormat="1" ht="13" x14ac:dyDescent="0.15">
      <c r="B310" s="11"/>
      <c r="C310" s="12"/>
      <c r="D310" s="12"/>
      <c r="E310" s="12"/>
      <c r="F310" s="13"/>
      <c r="G310" s="11"/>
      <c r="H310" s="11"/>
      <c r="I310" s="15"/>
      <c r="J310" s="13"/>
      <c r="K310" s="24"/>
      <c r="L310" s="17"/>
      <c r="M310" s="18"/>
      <c r="N310" s="19">
        <f t="shared" si="9"/>
        <v>0</v>
      </c>
      <c r="O310" s="19">
        <f t="shared" si="10"/>
        <v>0</v>
      </c>
      <c r="P310" s="19">
        <f t="shared" si="11"/>
        <v>0</v>
      </c>
      <c r="S310" s="19"/>
      <c r="U310" s="19"/>
    </row>
    <row r="311" spans="2:21" s="20" customFormat="1" ht="13" x14ac:dyDescent="0.15">
      <c r="B311" s="11"/>
      <c r="C311" s="12"/>
      <c r="D311" s="12"/>
      <c r="E311" s="12"/>
      <c r="F311" s="13"/>
      <c r="G311" s="11"/>
      <c r="H311" s="11"/>
      <c r="I311" s="15"/>
      <c r="J311" s="13"/>
      <c r="K311" s="24"/>
      <c r="L311" s="17"/>
      <c r="M311" s="18"/>
      <c r="N311" s="19">
        <f t="shared" si="9"/>
        <v>0</v>
      </c>
      <c r="O311" s="19">
        <f t="shared" si="10"/>
        <v>0</v>
      </c>
      <c r="P311" s="19">
        <f t="shared" si="11"/>
        <v>0</v>
      </c>
      <c r="S311" s="19"/>
      <c r="U311" s="19"/>
    </row>
    <row r="312" spans="2:21" s="20" customFormat="1" ht="13" x14ac:dyDescent="0.15">
      <c r="B312" s="11"/>
      <c r="C312" s="12"/>
      <c r="D312" s="12"/>
      <c r="E312" s="12"/>
      <c r="F312" s="13"/>
      <c r="G312" s="11"/>
      <c r="H312" s="11"/>
      <c r="I312" s="15"/>
      <c r="J312" s="13"/>
      <c r="K312" s="24"/>
      <c r="L312" s="17"/>
      <c r="M312" s="18"/>
      <c r="N312" s="19">
        <f t="shared" si="9"/>
        <v>0</v>
      </c>
      <c r="O312" s="19">
        <f t="shared" si="10"/>
        <v>0</v>
      </c>
      <c r="P312" s="19">
        <f t="shared" si="11"/>
        <v>0</v>
      </c>
      <c r="S312" s="19"/>
      <c r="U312" s="19"/>
    </row>
    <row r="313" spans="2:21" s="20" customFormat="1" ht="13" x14ac:dyDescent="0.15">
      <c r="B313" s="11"/>
      <c r="C313" s="12"/>
      <c r="D313" s="12"/>
      <c r="E313" s="12"/>
      <c r="F313" s="13"/>
      <c r="G313" s="11"/>
      <c r="H313" s="11"/>
      <c r="I313" s="15"/>
      <c r="J313" s="13"/>
      <c r="K313" s="24"/>
      <c r="L313" s="17"/>
      <c r="M313" s="18"/>
      <c r="N313" s="19">
        <f t="shared" si="9"/>
        <v>0</v>
      </c>
      <c r="O313" s="19">
        <f t="shared" si="10"/>
        <v>0</v>
      </c>
      <c r="P313" s="19">
        <f t="shared" si="11"/>
        <v>0</v>
      </c>
      <c r="S313" s="19"/>
      <c r="U313" s="19"/>
    </row>
    <row r="314" spans="2:21" s="20" customFormat="1" ht="13" x14ac:dyDescent="0.15">
      <c r="B314" s="11"/>
      <c r="C314" s="12"/>
      <c r="D314" s="12"/>
      <c r="E314" s="12"/>
      <c r="F314" s="13"/>
      <c r="G314" s="11"/>
      <c r="H314" s="11"/>
      <c r="I314" s="15"/>
      <c r="J314" s="13"/>
      <c r="K314" s="24"/>
      <c r="L314" s="17"/>
      <c r="M314" s="18"/>
      <c r="N314" s="19">
        <f t="shared" si="9"/>
        <v>0</v>
      </c>
      <c r="O314" s="19">
        <f t="shared" si="10"/>
        <v>0</v>
      </c>
      <c r="P314" s="19">
        <f t="shared" si="11"/>
        <v>0</v>
      </c>
      <c r="S314" s="19"/>
      <c r="U314" s="19"/>
    </row>
    <row r="315" spans="2:21" s="20" customFormat="1" ht="13" x14ac:dyDescent="0.15">
      <c r="B315" s="11"/>
      <c r="C315" s="12"/>
      <c r="D315" s="12"/>
      <c r="E315" s="12"/>
      <c r="F315" s="13"/>
      <c r="G315" s="11"/>
      <c r="H315" s="11"/>
      <c r="I315" s="15"/>
      <c r="J315" s="13"/>
      <c r="K315" s="24"/>
      <c r="L315" s="17"/>
      <c r="M315" s="18"/>
      <c r="N315" s="19">
        <f t="shared" si="9"/>
        <v>0</v>
      </c>
      <c r="O315" s="19">
        <f t="shared" si="10"/>
        <v>0</v>
      </c>
      <c r="P315" s="19">
        <f t="shared" si="11"/>
        <v>0</v>
      </c>
      <c r="S315" s="19"/>
      <c r="U315" s="19"/>
    </row>
    <row r="316" spans="2:21" s="20" customFormat="1" ht="13" x14ac:dyDescent="0.15">
      <c r="B316" s="11"/>
      <c r="C316" s="12"/>
      <c r="D316" s="12"/>
      <c r="E316" s="12"/>
      <c r="F316" s="13"/>
      <c r="G316" s="11"/>
      <c r="H316" s="11"/>
      <c r="I316" s="15"/>
      <c r="J316" s="13"/>
      <c r="K316" s="24"/>
      <c r="L316" s="17"/>
      <c r="M316" s="18"/>
      <c r="N316" s="19">
        <f t="shared" si="9"/>
        <v>0</v>
      </c>
      <c r="O316" s="19">
        <f t="shared" si="10"/>
        <v>0</v>
      </c>
      <c r="P316" s="19">
        <f t="shared" si="11"/>
        <v>0</v>
      </c>
      <c r="S316" s="19"/>
      <c r="U316" s="19"/>
    </row>
    <row r="317" spans="2:21" s="20" customFormat="1" ht="13" x14ac:dyDescent="0.15">
      <c r="B317" s="11"/>
      <c r="C317" s="12"/>
      <c r="D317" s="12"/>
      <c r="E317" s="12"/>
      <c r="F317" s="13"/>
      <c r="G317" s="11"/>
      <c r="H317" s="11"/>
      <c r="I317" s="15"/>
      <c r="J317" s="13"/>
      <c r="K317" s="24"/>
      <c r="L317" s="17"/>
      <c r="M317" s="18"/>
      <c r="N317" s="19">
        <f t="shared" si="9"/>
        <v>0</v>
      </c>
      <c r="O317" s="19">
        <f t="shared" si="10"/>
        <v>0</v>
      </c>
      <c r="P317" s="19">
        <f t="shared" si="11"/>
        <v>0</v>
      </c>
      <c r="S317" s="19"/>
      <c r="U317" s="19"/>
    </row>
    <row r="318" spans="2:21" s="20" customFormat="1" ht="13" x14ac:dyDescent="0.15">
      <c r="B318" s="11"/>
      <c r="C318" s="12"/>
      <c r="D318" s="12"/>
      <c r="E318" s="12"/>
      <c r="F318" s="13"/>
      <c r="G318" s="11"/>
      <c r="H318" s="11"/>
      <c r="I318" s="15"/>
      <c r="J318" s="13"/>
      <c r="K318" s="24"/>
      <c r="L318" s="17"/>
      <c r="M318" s="18"/>
      <c r="N318" s="19">
        <f t="shared" si="9"/>
        <v>0</v>
      </c>
      <c r="O318" s="19">
        <f t="shared" si="10"/>
        <v>0</v>
      </c>
      <c r="P318" s="19">
        <f t="shared" si="11"/>
        <v>0</v>
      </c>
      <c r="S318" s="19"/>
      <c r="U318" s="19"/>
    </row>
    <row r="319" spans="2:21" s="20" customFormat="1" ht="13" x14ac:dyDescent="0.15">
      <c r="B319" s="11"/>
      <c r="C319" s="12"/>
      <c r="D319" s="12"/>
      <c r="E319" s="12"/>
      <c r="F319" s="13"/>
      <c r="G319" s="11"/>
      <c r="H319" s="11"/>
      <c r="I319" s="15"/>
      <c r="J319" s="13"/>
      <c r="K319" s="24"/>
      <c r="L319" s="17"/>
      <c r="M319" s="18"/>
      <c r="N319" s="19">
        <f t="shared" si="9"/>
        <v>0</v>
      </c>
      <c r="O319" s="19">
        <f t="shared" si="10"/>
        <v>0</v>
      </c>
      <c r="P319" s="19">
        <f t="shared" si="11"/>
        <v>0</v>
      </c>
      <c r="S319" s="19"/>
      <c r="U319" s="19"/>
    </row>
    <row r="320" spans="2:21" s="20" customFormat="1" ht="13" x14ac:dyDescent="0.15">
      <c r="B320" s="11"/>
      <c r="C320" s="12"/>
      <c r="D320" s="12"/>
      <c r="E320" s="12"/>
      <c r="F320" s="13"/>
      <c r="G320" s="11"/>
      <c r="H320" s="11"/>
      <c r="I320" s="15"/>
      <c r="J320" s="13"/>
      <c r="K320" s="24"/>
      <c r="L320" s="17"/>
      <c r="M320" s="18"/>
      <c r="N320" s="19">
        <f t="shared" si="9"/>
        <v>0</v>
      </c>
      <c r="O320" s="19">
        <f t="shared" si="10"/>
        <v>0</v>
      </c>
      <c r="P320" s="19">
        <f t="shared" si="11"/>
        <v>0</v>
      </c>
      <c r="S320" s="19"/>
      <c r="U320" s="19"/>
    </row>
    <row r="321" spans="2:21" s="20" customFormat="1" ht="13" x14ac:dyDescent="0.15">
      <c r="B321" s="11"/>
      <c r="C321" s="12"/>
      <c r="D321" s="12"/>
      <c r="E321" s="12"/>
      <c r="F321" s="13"/>
      <c r="G321" s="11"/>
      <c r="H321" s="11"/>
      <c r="I321" s="15"/>
      <c r="J321" s="13"/>
      <c r="K321" s="24"/>
      <c r="L321" s="17"/>
      <c r="M321" s="18"/>
      <c r="N321" s="19">
        <f t="shared" si="9"/>
        <v>0</v>
      </c>
      <c r="O321" s="19">
        <f t="shared" si="10"/>
        <v>0</v>
      </c>
      <c r="P321" s="19">
        <f t="shared" si="11"/>
        <v>0</v>
      </c>
      <c r="S321" s="19"/>
      <c r="U321" s="19"/>
    </row>
    <row r="322" spans="2:21" s="20" customFormat="1" ht="13" x14ac:dyDescent="0.15">
      <c r="B322" s="11"/>
      <c r="C322" s="12"/>
      <c r="D322" s="12"/>
      <c r="E322" s="12"/>
      <c r="F322" s="13"/>
      <c r="G322" s="11"/>
      <c r="H322" s="11"/>
      <c r="I322" s="15"/>
      <c r="J322" s="13"/>
      <c r="K322" s="24"/>
      <c r="L322" s="17"/>
      <c r="M322" s="18"/>
      <c r="N322" s="19">
        <f t="shared" ref="N322:N359" si="12">O322*Q$1</f>
        <v>0</v>
      </c>
      <c r="O322" s="19">
        <f t="shared" ref="O322:O359" si="13">M322/(1+$Q$1)</f>
        <v>0</v>
      </c>
      <c r="P322" s="19">
        <f t="shared" si="11"/>
        <v>0</v>
      </c>
      <c r="S322" s="19"/>
      <c r="U322" s="19"/>
    </row>
    <row r="323" spans="2:21" s="20" customFormat="1" ht="13" x14ac:dyDescent="0.15">
      <c r="B323" s="11"/>
      <c r="C323" s="12"/>
      <c r="D323" s="12"/>
      <c r="E323" s="12"/>
      <c r="F323" s="13"/>
      <c r="G323" s="11"/>
      <c r="H323" s="11"/>
      <c r="I323" s="15"/>
      <c r="J323" s="13"/>
      <c r="K323" s="24"/>
      <c r="L323" s="17"/>
      <c r="M323" s="18"/>
      <c r="N323" s="19">
        <f t="shared" si="12"/>
        <v>0</v>
      </c>
      <c r="O323" s="19">
        <f t="shared" si="13"/>
        <v>0</v>
      </c>
      <c r="P323" s="19">
        <f t="shared" ref="P323:P359" si="14">O323*10%</f>
        <v>0</v>
      </c>
      <c r="S323" s="19"/>
      <c r="U323" s="19"/>
    </row>
    <row r="324" spans="2:21" s="20" customFormat="1" ht="13" x14ac:dyDescent="0.15">
      <c r="B324" s="11"/>
      <c r="C324" s="12"/>
      <c r="D324" s="12"/>
      <c r="E324" s="12"/>
      <c r="F324" s="13"/>
      <c r="G324" s="11"/>
      <c r="H324" s="11"/>
      <c r="I324" s="15"/>
      <c r="J324" s="13"/>
      <c r="K324" s="24"/>
      <c r="L324" s="17"/>
      <c r="M324" s="18"/>
      <c r="N324" s="19">
        <f t="shared" si="12"/>
        <v>0</v>
      </c>
      <c r="O324" s="19">
        <f t="shared" si="13"/>
        <v>0</v>
      </c>
      <c r="P324" s="19">
        <f t="shared" si="14"/>
        <v>0</v>
      </c>
      <c r="S324" s="19"/>
      <c r="U324" s="19"/>
    </row>
    <row r="325" spans="2:21" s="20" customFormat="1" ht="13" x14ac:dyDescent="0.15">
      <c r="B325" s="11"/>
      <c r="C325" s="12"/>
      <c r="D325" s="12"/>
      <c r="E325" s="12"/>
      <c r="F325" s="13"/>
      <c r="G325" s="11"/>
      <c r="H325" s="11"/>
      <c r="I325" s="15"/>
      <c r="J325" s="13"/>
      <c r="K325" s="24"/>
      <c r="L325" s="17"/>
      <c r="M325" s="18"/>
      <c r="N325" s="19">
        <f t="shared" si="12"/>
        <v>0</v>
      </c>
      <c r="O325" s="19">
        <f t="shared" si="13"/>
        <v>0</v>
      </c>
      <c r="P325" s="19">
        <f t="shared" si="14"/>
        <v>0</v>
      </c>
      <c r="S325" s="19"/>
      <c r="U325" s="19"/>
    </row>
    <row r="326" spans="2:21" s="20" customFormat="1" ht="13" x14ac:dyDescent="0.15">
      <c r="B326" s="11"/>
      <c r="C326" s="12"/>
      <c r="D326" s="12"/>
      <c r="E326" s="12"/>
      <c r="F326" s="13"/>
      <c r="G326" s="11"/>
      <c r="H326" s="11"/>
      <c r="I326" s="15"/>
      <c r="J326" s="13"/>
      <c r="K326" s="24"/>
      <c r="L326" s="17"/>
      <c r="M326" s="18"/>
      <c r="N326" s="19">
        <f t="shared" si="12"/>
        <v>0</v>
      </c>
      <c r="O326" s="19">
        <f t="shared" si="13"/>
        <v>0</v>
      </c>
      <c r="P326" s="19">
        <f t="shared" si="14"/>
        <v>0</v>
      </c>
      <c r="S326" s="19"/>
      <c r="U326" s="19"/>
    </row>
    <row r="327" spans="2:21" s="20" customFormat="1" ht="13" x14ac:dyDescent="0.15">
      <c r="B327" s="11"/>
      <c r="C327" s="12"/>
      <c r="D327" s="12"/>
      <c r="E327" s="12"/>
      <c r="F327" s="13"/>
      <c r="G327" s="11"/>
      <c r="H327" s="11"/>
      <c r="I327" s="15"/>
      <c r="J327" s="13"/>
      <c r="K327" s="24"/>
      <c r="L327" s="17"/>
      <c r="M327" s="18"/>
      <c r="N327" s="19">
        <f t="shared" si="12"/>
        <v>0</v>
      </c>
      <c r="O327" s="19">
        <f t="shared" si="13"/>
        <v>0</v>
      </c>
      <c r="P327" s="19">
        <f t="shared" si="14"/>
        <v>0</v>
      </c>
      <c r="S327" s="19"/>
      <c r="U327" s="19"/>
    </row>
    <row r="328" spans="2:21" s="20" customFormat="1" ht="13" x14ac:dyDescent="0.15">
      <c r="B328" s="11"/>
      <c r="C328" s="12"/>
      <c r="D328" s="12"/>
      <c r="E328" s="12"/>
      <c r="F328" s="13"/>
      <c r="G328" s="11"/>
      <c r="H328" s="11"/>
      <c r="I328" s="15"/>
      <c r="J328" s="13"/>
      <c r="K328" s="24"/>
      <c r="L328" s="17"/>
      <c r="M328" s="18"/>
      <c r="N328" s="19">
        <f t="shared" si="12"/>
        <v>0</v>
      </c>
      <c r="O328" s="19">
        <f t="shared" si="13"/>
        <v>0</v>
      </c>
      <c r="P328" s="19">
        <f t="shared" si="14"/>
        <v>0</v>
      </c>
      <c r="S328" s="19"/>
      <c r="U328" s="19"/>
    </row>
    <row r="329" spans="2:21" s="20" customFormat="1" ht="13" x14ac:dyDescent="0.15">
      <c r="B329" s="11"/>
      <c r="C329" s="12"/>
      <c r="D329" s="12"/>
      <c r="E329" s="12"/>
      <c r="F329" s="13"/>
      <c r="G329" s="11"/>
      <c r="H329" s="11"/>
      <c r="I329" s="15"/>
      <c r="J329" s="13"/>
      <c r="K329" s="24"/>
      <c r="L329" s="17"/>
      <c r="M329" s="18"/>
      <c r="N329" s="19">
        <f t="shared" si="12"/>
        <v>0</v>
      </c>
      <c r="O329" s="19">
        <f t="shared" si="13"/>
        <v>0</v>
      </c>
      <c r="P329" s="19">
        <f t="shared" si="14"/>
        <v>0</v>
      </c>
      <c r="S329" s="19"/>
      <c r="U329" s="19"/>
    </row>
    <row r="330" spans="2:21" s="20" customFormat="1" ht="13" x14ac:dyDescent="0.15">
      <c r="B330" s="11"/>
      <c r="C330" s="12"/>
      <c r="D330" s="12"/>
      <c r="E330" s="12"/>
      <c r="F330" s="13"/>
      <c r="G330" s="11"/>
      <c r="H330" s="11"/>
      <c r="I330" s="15"/>
      <c r="J330" s="13"/>
      <c r="K330" s="24"/>
      <c r="L330" s="17"/>
      <c r="M330" s="18"/>
      <c r="N330" s="19">
        <f t="shared" si="12"/>
        <v>0</v>
      </c>
      <c r="O330" s="19">
        <f t="shared" si="13"/>
        <v>0</v>
      </c>
      <c r="P330" s="19">
        <f t="shared" si="14"/>
        <v>0</v>
      </c>
      <c r="S330" s="19"/>
      <c r="U330" s="19"/>
    </row>
    <row r="331" spans="2:21" s="20" customFormat="1" ht="13" x14ac:dyDescent="0.15">
      <c r="B331" s="11"/>
      <c r="C331" s="12"/>
      <c r="D331" s="12"/>
      <c r="E331" s="12"/>
      <c r="F331" s="13"/>
      <c r="G331" s="11"/>
      <c r="H331" s="11"/>
      <c r="I331" s="15"/>
      <c r="J331" s="13"/>
      <c r="K331" s="24"/>
      <c r="L331" s="17"/>
      <c r="M331" s="18"/>
      <c r="N331" s="19">
        <f t="shared" si="12"/>
        <v>0</v>
      </c>
      <c r="O331" s="19">
        <f t="shared" si="13"/>
        <v>0</v>
      </c>
      <c r="P331" s="19">
        <f t="shared" si="14"/>
        <v>0</v>
      </c>
      <c r="S331" s="19"/>
      <c r="U331" s="19"/>
    </row>
    <row r="332" spans="2:21" s="20" customFormat="1" ht="13" x14ac:dyDescent="0.15">
      <c r="B332" s="11"/>
      <c r="C332" s="12"/>
      <c r="D332" s="12"/>
      <c r="E332" s="12"/>
      <c r="F332" s="13"/>
      <c r="G332" s="11"/>
      <c r="H332" s="11"/>
      <c r="I332" s="15"/>
      <c r="J332" s="13"/>
      <c r="K332" s="24"/>
      <c r="L332" s="17"/>
      <c r="M332" s="18"/>
      <c r="N332" s="19">
        <f t="shared" si="12"/>
        <v>0</v>
      </c>
      <c r="O332" s="19">
        <f t="shared" si="13"/>
        <v>0</v>
      </c>
      <c r="P332" s="19">
        <f t="shared" si="14"/>
        <v>0</v>
      </c>
      <c r="S332" s="19"/>
      <c r="U332" s="19"/>
    </row>
    <row r="333" spans="2:21" s="20" customFormat="1" ht="13" x14ac:dyDescent="0.15">
      <c r="B333" s="11"/>
      <c r="C333" s="12"/>
      <c r="D333" s="12"/>
      <c r="E333" s="12"/>
      <c r="F333" s="13"/>
      <c r="G333" s="11"/>
      <c r="H333" s="11"/>
      <c r="I333" s="15"/>
      <c r="J333" s="13"/>
      <c r="K333" s="24"/>
      <c r="L333" s="17"/>
      <c r="M333" s="18"/>
      <c r="N333" s="19">
        <f t="shared" si="12"/>
        <v>0</v>
      </c>
      <c r="O333" s="19">
        <f t="shared" si="13"/>
        <v>0</v>
      </c>
      <c r="P333" s="19">
        <f t="shared" si="14"/>
        <v>0</v>
      </c>
      <c r="S333" s="19"/>
      <c r="U333" s="19"/>
    </row>
    <row r="334" spans="2:21" s="20" customFormat="1" ht="13" x14ac:dyDescent="0.15">
      <c r="B334" s="11"/>
      <c r="C334" s="12"/>
      <c r="D334" s="12"/>
      <c r="E334" s="12"/>
      <c r="F334" s="13"/>
      <c r="G334" s="11"/>
      <c r="H334" s="11"/>
      <c r="I334" s="15"/>
      <c r="J334" s="13"/>
      <c r="K334" s="24"/>
      <c r="L334" s="17"/>
      <c r="M334" s="18"/>
      <c r="N334" s="19">
        <f t="shared" si="12"/>
        <v>0</v>
      </c>
      <c r="O334" s="19">
        <f t="shared" si="13"/>
        <v>0</v>
      </c>
      <c r="P334" s="19">
        <f t="shared" si="14"/>
        <v>0</v>
      </c>
      <c r="S334" s="19"/>
      <c r="U334" s="19"/>
    </row>
    <row r="335" spans="2:21" s="20" customFormat="1" ht="13" x14ac:dyDescent="0.15">
      <c r="B335" s="11"/>
      <c r="C335" s="12"/>
      <c r="D335" s="12"/>
      <c r="E335" s="12"/>
      <c r="F335" s="13"/>
      <c r="G335" s="11"/>
      <c r="H335" s="11"/>
      <c r="I335" s="15"/>
      <c r="J335" s="13"/>
      <c r="K335" s="24"/>
      <c r="L335" s="17"/>
      <c r="M335" s="18"/>
      <c r="N335" s="19">
        <f t="shared" si="12"/>
        <v>0</v>
      </c>
      <c r="O335" s="19">
        <f t="shared" si="13"/>
        <v>0</v>
      </c>
      <c r="P335" s="19">
        <f t="shared" si="14"/>
        <v>0</v>
      </c>
      <c r="S335" s="19"/>
      <c r="U335" s="19"/>
    </row>
    <row r="336" spans="2:21" s="20" customFormat="1" ht="13" x14ac:dyDescent="0.15">
      <c r="B336" s="11"/>
      <c r="C336" s="12"/>
      <c r="D336" s="12"/>
      <c r="E336" s="12"/>
      <c r="F336" s="13"/>
      <c r="G336" s="11"/>
      <c r="H336" s="11"/>
      <c r="I336" s="15"/>
      <c r="J336" s="13"/>
      <c r="K336" s="24"/>
      <c r="L336" s="17"/>
      <c r="M336" s="18"/>
      <c r="N336" s="19">
        <f t="shared" si="12"/>
        <v>0</v>
      </c>
      <c r="O336" s="19">
        <f t="shared" si="13"/>
        <v>0</v>
      </c>
      <c r="P336" s="19">
        <f t="shared" si="14"/>
        <v>0</v>
      </c>
      <c r="S336" s="19"/>
      <c r="U336" s="19"/>
    </row>
    <row r="337" spans="2:21" s="20" customFormat="1" ht="13" x14ac:dyDescent="0.15">
      <c r="B337" s="11"/>
      <c r="C337" s="12"/>
      <c r="D337" s="12"/>
      <c r="E337" s="12"/>
      <c r="F337" s="13"/>
      <c r="G337" s="11"/>
      <c r="H337" s="11"/>
      <c r="I337" s="15"/>
      <c r="J337" s="13"/>
      <c r="K337" s="24"/>
      <c r="L337" s="17"/>
      <c r="M337" s="18"/>
      <c r="N337" s="19">
        <f t="shared" si="12"/>
        <v>0</v>
      </c>
      <c r="O337" s="19">
        <f t="shared" si="13"/>
        <v>0</v>
      </c>
      <c r="P337" s="19">
        <f t="shared" si="14"/>
        <v>0</v>
      </c>
      <c r="S337" s="19"/>
      <c r="U337" s="19"/>
    </row>
    <row r="338" spans="2:21" s="20" customFormat="1" ht="13" x14ac:dyDescent="0.15">
      <c r="B338" s="11"/>
      <c r="C338" s="12"/>
      <c r="D338" s="12"/>
      <c r="E338" s="12"/>
      <c r="F338" s="13"/>
      <c r="G338" s="11"/>
      <c r="H338" s="11"/>
      <c r="I338" s="15"/>
      <c r="J338" s="13"/>
      <c r="K338" s="24"/>
      <c r="L338" s="17"/>
      <c r="M338" s="18"/>
      <c r="N338" s="19">
        <f t="shared" si="12"/>
        <v>0</v>
      </c>
      <c r="O338" s="19">
        <f t="shared" si="13"/>
        <v>0</v>
      </c>
      <c r="P338" s="19">
        <f t="shared" si="14"/>
        <v>0</v>
      </c>
      <c r="S338" s="19"/>
      <c r="U338" s="19"/>
    </row>
    <row r="339" spans="2:21" s="20" customFormat="1" ht="13" x14ac:dyDescent="0.15">
      <c r="B339" s="11"/>
      <c r="C339" s="12"/>
      <c r="D339" s="12"/>
      <c r="E339" s="12"/>
      <c r="F339" s="13"/>
      <c r="G339" s="11"/>
      <c r="H339" s="11"/>
      <c r="I339" s="15"/>
      <c r="J339" s="13"/>
      <c r="K339" s="24"/>
      <c r="L339" s="17"/>
      <c r="M339" s="18"/>
      <c r="N339" s="19">
        <f t="shared" si="12"/>
        <v>0</v>
      </c>
      <c r="O339" s="19">
        <f t="shared" si="13"/>
        <v>0</v>
      </c>
      <c r="P339" s="19">
        <f t="shared" si="14"/>
        <v>0</v>
      </c>
      <c r="S339" s="19"/>
      <c r="U339" s="19"/>
    </row>
    <row r="340" spans="2:21" s="20" customFormat="1" ht="13" x14ac:dyDescent="0.15">
      <c r="B340" s="11"/>
      <c r="C340" s="12"/>
      <c r="D340" s="12"/>
      <c r="E340" s="12"/>
      <c r="F340" s="13"/>
      <c r="G340" s="11"/>
      <c r="H340" s="11"/>
      <c r="I340" s="15"/>
      <c r="J340" s="13"/>
      <c r="K340" s="24"/>
      <c r="L340" s="17"/>
      <c r="M340" s="18"/>
      <c r="N340" s="19">
        <f t="shared" si="12"/>
        <v>0</v>
      </c>
      <c r="O340" s="19">
        <f t="shared" si="13"/>
        <v>0</v>
      </c>
      <c r="P340" s="19">
        <f t="shared" si="14"/>
        <v>0</v>
      </c>
      <c r="S340" s="19"/>
      <c r="U340" s="19"/>
    </row>
    <row r="341" spans="2:21" s="20" customFormat="1" ht="13" x14ac:dyDescent="0.15">
      <c r="B341" s="11"/>
      <c r="C341" s="12"/>
      <c r="D341" s="12"/>
      <c r="E341" s="12"/>
      <c r="F341" s="13"/>
      <c r="G341" s="11"/>
      <c r="H341" s="11"/>
      <c r="I341" s="15"/>
      <c r="J341" s="13"/>
      <c r="K341" s="24"/>
      <c r="L341" s="17"/>
      <c r="M341" s="18"/>
      <c r="N341" s="19">
        <f t="shared" si="12"/>
        <v>0</v>
      </c>
      <c r="O341" s="19">
        <f t="shared" si="13"/>
        <v>0</v>
      </c>
      <c r="P341" s="19">
        <f t="shared" si="14"/>
        <v>0</v>
      </c>
      <c r="S341" s="19"/>
      <c r="U341" s="19"/>
    </row>
    <row r="342" spans="2:21" s="20" customFormat="1" ht="13" x14ac:dyDescent="0.15">
      <c r="B342" s="11"/>
      <c r="C342" s="12"/>
      <c r="D342" s="12"/>
      <c r="E342" s="12"/>
      <c r="F342" s="13"/>
      <c r="G342" s="11"/>
      <c r="H342" s="11"/>
      <c r="I342" s="15"/>
      <c r="J342" s="13"/>
      <c r="K342" s="24"/>
      <c r="L342" s="17"/>
      <c r="M342" s="18"/>
      <c r="N342" s="19">
        <f t="shared" si="12"/>
        <v>0</v>
      </c>
      <c r="O342" s="19">
        <f t="shared" si="13"/>
        <v>0</v>
      </c>
      <c r="P342" s="19">
        <f t="shared" si="14"/>
        <v>0</v>
      </c>
      <c r="S342" s="19"/>
      <c r="U342" s="19"/>
    </row>
    <row r="343" spans="2:21" s="20" customFormat="1" ht="13" x14ac:dyDescent="0.15">
      <c r="B343" s="11"/>
      <c r="C343" s="12"/>
      <c r="D343" s="12"/>
      <c r="E343" s="12"/>
      <c r="F343" s="13"/>
      <c r="G343" s="11"/>
      <c r="H343" s="11"/>
      <c r="I343" s="15"/>
      <c r="J343" s="13"/>
      <c r="K343" s="24"/>
      <c r="L343" s="17"/>
      <c r="M343" s="18"/>
      <c r="N343" s="19">
        <f t="shared" si="12"/>
        <v>0</v>
      </c>
      <c r="O343" s="19">
        <f t="shared" si="13"/>
        <v>0</v>
      </c>
      <c r="P343" s="19">
        <f t="shared" si="14"/>
        <v>0</v>
      </c>
      <c r="S343" s="19"/>
      <c r="U343" s="19"/>
    </row>
    <row r="344" spans="2:21" s="20" customFormat="1" ht="13" x14ac:dyDescent="0.15">
      <c r="B344" s="11"/>
      <c r="C344" s="12"/>
      <c r="D344" s="12"/>
      <c r="E344" s="12"/>
      <c r="F344" s="13"/>
      <c r="G344" s="11"/>
      <c r="H344" s="11"/>
      <c r="I344" s="15"/>
      <c r="J344" s="13"/>
      <c r="K344" s="24"/>
      <c r="L344" s="17"/>
      <c r="M344" s="18"/>
      <c r="N344" s="19">
        <f t="shared" si="12"/>
        <v>0</v>
      </c>
      <c r="O344" s="19">
        <f t="shared" si="13"/>
        <v>0</v>
      </c>
      <c r="P344" s="19">
        <f t="shared" si="14"/>
        <v>0</v>
      </c>
      <c r="S344" s="19"/>
      <c r="U344" s="19"/>
    </row>
    <row r="345" spans="2:21" s="20" customFormat="1" ht="13" x14ac:dyDescent="0.15">
      <c r="B345" s="11"/>
      <c r="C345" s="12"/>
      <c r="D345" s="12"/>
      <c r="E345" s="12"/>
      <c r="F345" s="13"/>
      <c r="G345" s="11"/>
      <c r="H345" s="11"/>
      <c r="I345" s="15"/>
      <c r="J345" s="13"/>
      <c r="K345" s="24"/>
      <c r="L345" s="17"/>
      <c r="M345" s="18"/>
      <c r="N345" s="19">
        <f t="shared" si="12"/>
        <v>0</v>
      </c>
      <c r="O345" s="19">
        <f t="shared" si="13"/>
        <v>0</v>
      </c>
      <c r="P345" s="19">
        <f t="shared" si="14"/>
        <v>0</v>
      </c>
      <c r="S345" s="19"/>
      <c r="U345" s="19"/>
    </row>
    <row r="346" spans="2:21" s="20" customFormat="1" ht="13" x14ac:dyDescent="0.15">
      <c r="B346" s="11"/>
      <c r="C346" s="12"/>
      <c r="D346" s="12"/>
      <c r="E346" s="12"/>
      <c r="F346" s="13"/>
      <c r="G346" s="11"/>
      <c r="H346" s="11"/>
      <c r="I346" s="15"/>
      <c r="J346" s="13"/>
      <c r="K346" s="24"/>
      <c r="L346" s="17"/>
      <c r="M346" s="18"/>
      <c r="N346" s="19">
        <f t="shared" si="12"/>
        <v>0</v>
      </c>
      <c r="O346" s="19">
        <f t="shared" si="13"/>
        <v>0</v>
      </c>
      <c r="P346" s="19">
        <f t="shared" si="14"/>
        <v>0</v>
      </c>
      <c r="S346" s="19"/>
      <c r="U346" s="19"/>
    </row>
    <row r="347" spans="2:21" s="20" customFormat="1" ht="13" x14ac:dyDescent="0.15">
      <c r="B347" s="11"/>
      <c r="C347" s="12"/>
      <c r="D347" s="12"/>
      <c r="E347" s="12"/>
      <c r="F347" s="13"/>
      <c r="G347" s="11"/>
      <c r="H347" s="11"/>
      <c r="I347" s="15"/>
      <c r="J347" s="13"/>
      <c r="K347" s="24"/>
      <c r="L347" s="17"/>
      <c r="M347" s="18"/>
      <c r="N347" s="19">
        <f t="shared" si="12"/>
        <v>0</v>
      </c>
      <c r="O347" s="19">
        <f t="shared" si="13"/>
        <v>0</v>
      </c>
      <c r="P347" s="19">
        <f t="shared" si="14"/>
        <v>0</v>
      </c>
      <c r="S347" s="19"/>
      <c r="U347" s="19"/>
    </row>
    <row r="348" spans="2:21" s="20" customFormat="1" ht="13" x14ac:dyDescent="0.15">
      <c r="B348" s="11"/>
      <c r="C348" s="12"/>
      <c r="D348" s="12"/>
      <c r="E348" s="12"/>
      <c r="F348" s="13"/>
      <c r="G348" s="11"/>
      <c r="H348" s="11"/>
      <c r="I348" s="15"/>
      <c r="J348" s="13"/>
      <c r="K348" s="24"/>
      <c r="L348" s="17"/>
      <c r="M348" s="18"/>
      <c r="N348" s="19">
        <f t="shared" si="12"/>
        <v>0</v>
      </c>
      <c r="O348" s="19">
        <f t="shared" si="13"/>
        <v>0</v>
      </c>
      <c r="P348" s="19">
        <f t="shared" si="14"/>
        <v>0</v>
      </c>
      <c r="S348" s="19"/>
      <c r="U348" s="19"/>
    </row>
    <row r="349" spans="2:21" s="20" customFormat="1" ht="13" x14ac:dyDescent="0.15">
      <c r="B349" s="11"/>
      <c r="C349" s="12"/>
      <c r="D349" s="12"/>
      <c r="E349" s="12"/>
      <c r="F349" s="13"/>
      <c r="G349" s="11"/>
      <c r="H349" s="11"/>
      <c r="I349" s="15"/>
      <c r="J349" s="13"/>
      <c r="K349" s="24"/>
      <c r="L349" s="17"/>
      <c r="M349" s="18"/>
      <c r="N349" s="19">
        <f t="shared" si="12"/>
        <v>0</v>
      </c>
      <c r="O349" s="19">
        <f t="shared" si="13"/>
        <v>0</v>
      </c>
      <c r="P349" s="19">
        <f t="shared" si="14"/>
        <v>0</v>
      </c>
      <c r="S349" s="19"/>
      <c r="U349" s="19"/>
    </row>
    <row r="350" spans="2:21" s="20" customFormat="1" ht="13" x14ac:dyDescent="0.15">
      <c r="B350" s="11"/>
      <c r="C350" s="12"/>
      <c r="D350" s="12"/>
      <c r="E350" s="12"/>
      <c r="F350" s="13"/>
      <c r="G350" s="11"/>
      <c r="H350" s="11"/>
      <c r="I350" s="15"/>
      <c r="J350" s="13"/>
      <c r="K350" s="24"/>
      <c r="L350" s="17"/>
      <c r="M350" s="18"/>
      <c r="N350" s="19">
        <f t="shared" si="12"/>
        <v>0</v>
      </c>
      <c r="O350" s="19">
        <f t="shared" si="13"/>
        <v>0</v>
      </c>
      <c r="P350" s="19">
        <f t="shared" si="14"/>
        <v>0</v>
      </c>
      <c r="S350" s="19"/>
      <c r="U350" s="19"/>
    </row>
    <row r="351" spans="2:21" s="20" customFormat="1" ht="13" x14ac:dyDescent="0.15">
      <c r="B351" s="11"/>
      <c r="C351" s="12"/>
      <c r="D351" s="12"/>
      <c r="E351" s="12"/>
      <c r="F351" s="13"/>
      <c r="G351" s="11"/>
      <c r="H351" s="11"/>
      <c r="I351" s="15"/>
      <c r="J351" s="13"/>
      <c r="K351" s="24"/>
      <c r="L351" s="17"/>
      <c r="M351" s="18"/>
      <c r="N351" s="19">
        <f t="shared" si="12"/>
        <v>0</v>
      </c>
      <c r="O351" s="19">
        <f t="shared" si="13"/>
        <v>0</v>
      </c>
      <c r="P351" s="19">
        <f t="shared" si="14"/>
        <v>0</v>
      </c>
      <c r="S351" s="19"/>
      <c r="U351" s="19"/>
    </row>
    <row r="352" spans="2:21" s="20" customFormat="1" ht="13" x14ac:dyDescent="0.15">
      <c r="B352" s="11"/>
      <c r="C352" s="12"/>
      <c r="D352" s="12"/>
      <c r="E352" s="12"/>
      <c r="F352" s="13"/>
      <c r="G352" s="11"/>
      <c r="H352" s="11"/>
      <c r="I352" s="15"/>
      <c r="J352" s="13"/>
      <c r="K352" s="24"/>
      <c r="L352" s="17"/>
      <c r="M352" s="18"/>
      <c r="N352" s="19">
        <f t="shared" si="12"/>
        <v>0</v>
      </c>
      <c r="O352" s="19">
        <f t="shared" si="13"/>
        <v>0</v>
      </c>
      <c r="P352" s="19">
        <f t="shared" si="14"/>
        <v>0</v>
      </c>
      <c r="S352" s="19"/>
      <c r="U352" s="19"/>
    </row>
    <row r="353" spans="2:21" s="20" customFormat="1" ht="13" x14ac:dyDescent="0.15">
      <c r="B353" s="11"/>
      <c r="C353" s="12"/>
      <c r="D353" s="12"/>
      <c r="E353" s="12"/>
      <c r="F353" s="13"/>
      <c r="G353" s="11"/>
      <c r="H353" s="11"/>
      <c r="I353" s="15"/>
      <c r="J353" s="13"/>
      <c r="K353" s="24"/>
      <c r="L353" s="17"/>
      <c r="M353" s="18"/>
      <c r="N353" s="19">
        <f t="shared" si="12"/>
        <v>0</v>
      </c>
      <c r="O353" s="19">
        <f t="shared" si="13"/>
        <v>0</v>
      </c>
      <c r="P353" s="19">
        <f t="shared" si="14"/>
        <v>0</v>
      </c>
      <c r="S353" s="19"/>
      <c r="U353" s="19"/>
    </row>
    <row r="354" spans="2:21" s="20" customFormat="1" ht="13" x14ac:dyDescent="0.15">
      <c r="B354" s="11"/>
      <c r="C354" s="12"/>
      <c r="D354" s="12"/>
      <c r="E354" s="12"/>
      <c r="F354" s="13"/>
      <c r="G354" s="11"/>
      <c r="H354" s="11"/>
      <c r="I354" s="15"/>
      <c r="J354" s="13"/>
      <c r="K354" s="24"/>
      <c r="L354" s="17"/>
      <c r="M354" s="18"/>
      <c r="N354" s="19">
        <f t="shared" si="12"/>
        <v>0</v>
      </c>
      <c r="O354" s="19">
        <f t="shared" si="13"/>
        <v>0</v>
      </c>
      <c r="P354" s="19">
        <f t="shared" si="14"/>
        <v>0</v>
      </c>
      <c r="S354" s="19"/>
      <c r="U354" s="19"/>
    </row>
    <row r="355" spans="2:21" s="20" customFormat="1" ht="13" x14ac:dyDescent="0.15">
      <c r="B355" s="11"/>
      <c r="C355" s="12"/>
      <c r="D355" s="12"/>
      <c r="E355" s="12"/>
      <c r="F355" s="13"/>
      <c r="G355" s="11"/>
      <c r="H355" s="11"/>
      <c r="I355" s="15"/>
      <c r="J355" s="13"/>
      <c r="K355" s="24"/>
      <c r="L355" s="17"/>
      <c r="M355" s="18"/>
      <c r="N355" s="19">
        <f t="shared" si="12"/>
        <v>0</v>
      </c>
      <c r="O355" s="19">
        <f t="shared" si="13"/>
        <v>0</v>
      </c>
      <c r="P355" s="19">
        <f t="shared" si="14"/>
        <v>0</v>
      </c>
      <c r="S355" s="19"/>
      <c r="U355" s="19"/>
    </row>
    <row r="356" spans="2:21" s="20" customFormat="1" ht="13" x14ac:dyDescent="0.15">
      <c r="B356" s="11"/>
      <c r="C356" s="12"/>
      <c r="D356" s="12"/>
      <c r="E356" s="12"/>
      <c r="F356" s="13"/>
      <c r="G356" s="11"/>
      <c r="H356" s="11"/>
      <c r="I356" s="15"/>
      <c r="J356" s="13"/>
      <c r="K356" s="24"/>
      <c r="L356" s="17"/>
      <c r="M356" s="18"/>
      <c r="N356" s="19">
        <f t="shared" si="12"/>
        <v>0</v>
      </c>
      <c r="O356" s="19">
        <f t="shared" si="13"/>
        <v>0</v>
      </c>
      <c r="P356" s="19">
        <f t="shared" si="14"/>
        <v>0</v>
      </c>
      <c r="S356" s="19"/>
      <c r="U356" s="19"/>
    </row>
    <row r="357" spans="2:21" s="20" customFormat="1" ht="13" x14ac:dyDescent="0.15">
      <c r="B357" s="11"/>
      <c r="C357" s="12"/>
      <c r="D357" s="12"/>
      <c r="E357" s="12"/>
      <c r="F357" s="13"/>
      <c r="G357" s="11"/>
      <c r="H357" s="11"/>
      <c r="I357" s="15"/>
      <c r="J357" s="13"/>
      <c r="K357" s="24"/>
      <c r="L357" s="17"/>
      <c r="M357" s="18"/>
      <c r="N357" s="19">
        <f t="shared" si="12"/>
        <v>0</v>
      </c>
      <c r="O357" s="19">
        <f t="shared" si="13"/>
        <v>0</v>
      </c>
      <c r="P357" s="19">
        <f t="shared" si="14"/>
        <v>0</v>
      </c>
      <c r="S357" s="19"/>
      <c r="U357" s="19"/>
    </row>
    <row r="358" spans="2:21" s="20" customFormat="1" ht="13" x14ac:dyDescent="0.15">
      <c r="B358" s="11"/>
      <c r="C358" s="12"/>
      <c r="D358" s="12"/>
      <c r="E358" s="12"/>
      <c r="F358" s="13"/>
      <c r="G358" s="11"/>
      <c r="H358" s="11"/>
      <c r="I358" s="15"/>
      <c r="J358" s="13"/>
      <c r="K358" s="24"/>
      <c r="L358" s="17"/>
      <c r="M358" s="18"/>
      <c r="N358" s="19">
        <f t="shared" si="12"/>
        <v>0</v>
      </c>
      <c r="O358" s="19">
        <f t="shared" si="13"/>
        <v>0</v>
      </c>
      <c r="P358" s="19">
        <f t="shared" si="14"/>
        <v>0</v>
      </c>
      <c r="S358" s="19"/>
      <c r="U358" s="19"/>
    </row>
    <row r="359" spans="2:21" s="20" customFormat="1" ht="13" x14ac:dyDescent="0.15">
      <c r="B359" s="11"/>
      <c r="C359" s="12"/>
      <c r="D359" s="12"/>
      <c r="E359" s="12"/>
      <c r="F359" s="13"/>
      <c r="G359" s="11"/>
      <c r="H359" s="11"/>
      <c r="I359" s="15"/>
      <c r="J359" s="13"/>
      <c r="K359" s="24"/>
      <c r="L359" s="17"/>
      <c r="M359" s="18"/>
      <c r="N359" s="19">
        <f t="shared" si="12"/>
        <v>0</v>
      </c>
      <c r="O359" s="19">
        <f t="shared" si="13"/>
        <v>0</v>
      </c>
      <c r="P359" s="19">
        <f t="shared" si="14"/>
        <v>0</v>
      </c>
      <c r="S359" s="19"/>
      <c r="U359" s="19"/>
    </row>
    <row r="360" spans="2:21" s="20" customFormat="1" ht="13" x14ac:dyDescent="0.15">
      <c r="B360" s="11"/>
      <c r="C360" s="12"/>
      <c r="D360" s="12"/>
      <c r="E360" s="12"/>
      <c r="F360" s="13"/>
      <c r="G360" s="11"/>
      <c r="H360" s="11"/>
      <c r="I360" s="15"/>
      <c r="J360" s="13"/>
      <c r="K360" s="24"/>
      <c r="L360" s="17"/>
      <c r="M360" s="18"/>
      <c r="N360" s="19"/>
      <c r="O360" s="19"/>
      <c r="P360" s="19">
        <f>SUM(P2:P359)</f>
        <v>160796.73896442546</v>
      </c>
      <c r="S360" s="19"/>
      <c r="U360" s="19"/>
    </row>
    <row r="361" spans="2:21" s="20" customFormat="1" ht="13" x14ac:dyDescent="0.15">
      <c r="B361" s="11"/>
      <c r="C361" s="12"/>
      <c r="D361" s="12"/>
      <c r="E361" s="12"/>
      <c r="F361" s="13"/>
      <c r="G361" s="11"/>
      <c r="H361" s="11"/>
      <c r="I361" s="15"/>
      <c r="J361" s="13"/>
      <c r="K361" s="24"/>
      <c r="L361" s="17"/>
      <c r="M361" s="18"/>
      <c r="N361" s="19"/>
      <c r="O361" s="19"/>
      <c r="P361" s="19"/>
      <c r="S361" s="19"/>
      <c r="U361" s="19"/>
    </row>
    <row r="362" spans="2:21" s="20" customFormat="1" ht="13" x14ac:dyDescent="0.15">
      <c r="B362" s="11"/>
      <c r="C362" s="12"/>
      <c r="D362" s="12"/>
      <c r="E362" s="12"/>
      <c r="F362" s="13"/>
      <c r="G362" s="11"/>
      <c r="H362" s="11"/>
      <c r="I362" s="15"/>
      <c r="J362" s="13"/>
      <c r="K362" s="24"/>
      <c r="L362" s="17"/>
      <c r="M362" s="18"/>
      <c r="N362" s="19"/>
      <c r="O362" s="19"/>
      <c r="P362" s="19"/>
      <c r="S362" s="19"/>
      <c r="U362" s="19"/>
    </row>
    <row r="363" spans="2:21" s="20" customFormat="1" ht="13" x14ac:dyDescent="0.15">
      <c r="B363" s="11"/>
      <c r="C363" s="12"/>
      <c r="D363" s="12"/>
      <c r="E363" s="12"/>
      <c r="F363" s="13"/>
      <c r="G363" s="11"/>
      <c r="H363" s="11"/>
      <c r="I363" s="15"/>
      <c r="J363" s="13"/>
      <c r="K363" s="24"/>
      <c r="L363" s="17"/>
      <c r="M363" s="18"/>
      <c r="N363" s="19"/>
      <c r="O363" s="19"/>
      <c r="P363" s="19"/>
      <c r="S363" s="19"/>
      <c r="U363" s="19"/>
    </row>
    <row r="364" spans="2:21" s="20" customFormat="1" ht="13" x14ac:dyDescent="0.15">
      <c r="B364" s="11"/>
      <c r="C364" s="12"/>
      <c r="D364" s="12"/>
      <c r="E364" s="12"/>
      <c r="F364" s="13"/>
      <c r="G364" s="11"/>
      <c r="H364" s="11"/>
      <c r="I364" s="15"/>
      <c r="J364" s="13"/>
      <c r="K364" s="24"/>
      <c r="L364" s="17"/>
      <c r="M364" s="18"/>
      <c r="N364" s="19"/>
      <c r="O364" s="19"/>
      <c r="P364" s="19"/>
      <c r="S364" s="19"/>
      <c r="U364" s="19"/>
    </row>
    <row r="365" spans="2:21" s="20" customFormat="1" ht="13" x14ac:dyDescent="0.15">
      <c r="B365" s="11"/>
      <c r="C365" s="12"/>
      <c r="D365" s="12"/>
      <c r="E365" s="12"/>
      <c r="F365" s="13"/>
      <c r="G365" s="11"/>
      <c r="H365" s="11"/>
      <c r="I365" s="15"/>
      <c r="J365" s="13"/>
      <c r="K365" s="24"/>
      <c r="L365" s="17"/>
      <c r="M365" s="18"/>
      <c r="N365" s="19"/>
      <c r="O365" s="19"/>
      <c r="P365" s="19"/>
      <c r="S365" s="19"/>
      <c r="U365" s="19"/>
    </row>
    <row r="366" spans="2:21" s="20" customFormat="1" ht="13" x14ac:dyDescent="0.15">
      <c r="B366" s="11"/>
      <c r="C366" s="12"/>
      <c r="D366" s="12"/>
      <c r="E366" s="12"/>
      <c r="F366" s="13"/>
      <c r="G366" s="11"/>
      <c r="H366" s="11"/>
      <c r="I366" s="15"/>
      <c r="J366" s="13"/>
      <c r="K366" s="24"/>
      <c r="L366" s="17"/>
      <c r="M366" s="18"/>
      <c r="N366" s="19"/>
      <c r="O366" s="19"/>
      <c r="P366" s="19"/>
      <c r="S366" s="19"/>
      <c r="U366" s="19"/>
    </row>
    <row r="367" spans="2:21" s="20" customFormat="1" ht="13" x14ac:dyDescent="0.15">
      <c r="B367" s="11"/>
      <c r="C367" s="12"/>
      <c r="D367" s="12"/>
      <c r="E367" s="12"/>
      <c r="F367" s="13"/>
      <c r="G367" s="11"/>
      <c r="H367" s="11"/>
      <c r="I367" s="15"/>
      <c r="J367" s="13"/>
      <c r="K367" s="24"/>
      <c r="L367" s="17"/>
      <c r="M367" s="18"/>
      <c r="N367" s="19"/>
      <c r="O367" s="19"/>
      <c r="P367" s="19"/>
      <c r="S367" s="19"/>
      <c r="U367" s="19"/>
    </row>
    <row r="368" spans="2:21" s="20" customFormat="1" ht="13" x14ac:dyDescent="0.15">
      <c r="B368" s="11"/>
      <c r="C368" s="12"/>
      <c r="D368" s="12"/>
      <c r="E368" s="12"/>
      <c r="F368" s="13"/>
      <c r="G368" s="11"/>
      <c r="H368" s="11"/>
      <c r="I368" s="15"/>
      <c r="J368" s="13"/>
      <c r="K368" s="24"/>
      <c r="L368" s="17"/>
      <c r="M368" s="18"/>
      <c r="N368" s="19"/>
      <c r="O368" s="19"/>
      <c r="P368" s="19"/>
      <c r="S368" s="19"/>
      <c r="U368" s="19"/>
    </row>
    <row r="369" spans="2:21" s="20" customFormat="1" ht="13" x14ac:dyDescent="0.15">
      <c r="B369" s="11"/>
      <c r="C369" s="12"/>
      <c r="D369" s="12"/>
      <c r="E369" s="12"/>
      <c r="F369" s="13"/>
      <c r="G369" s="11"/>
      <c r="H369" s="11"/>
      <c r="I369" s="15"/>
      <c r="J369" s="13"/>
      <c r="K369" s="24"/>
      <c r="L369" s="17"/>
      <c r="M369" s="18"/>
      <c r="N369" s="19"/>
      <c r="O369" s="19"/>
      <c r="P369" s="19"/>
      <c r="S369" s="19"/>
      <c r="U369" s="19"/>
    </row>
    <row r="370" spans="2:21" s="20" customFormat="1" ht="13" x14ac:dyDescent="0.15">
      <c r="B370" s="11"/>
      <c r="C370" s="12"/>
      <c r="D370" s="12"/>
      <c r="E370" s="12"/>
      <c r="F370" s="13"/>
      <c r="G370" s="11"/>
      <c r="H370" s="11"/>
      <c r="I370" s="15"/>
      <c r="J370" s="13"/>
      <c r="K370" s="24"/>
      <c r="L370" s="17"/>
      <c r="M370" s="18"/>
      <c r="N370" s="19"/>
      <c r="O370" s="19"/>
      <c r="P370" s="19"/>
      <c r="S370" s="19"/>
      <c r="U370" s="19"/>
    </row>
    <row r="371" spans="2:21" s="20" customFormat="1" ht="13" x14ac:dyDescent="0.15">
      <c r="B371" s="11"/>
      <c r="C371" s="12"/>
      <c r="D371" s="12"/>
      <c r="E371" s="12"/>
      <c r="F371" s="13"/>
      <c r="G371" s="11"/>
      <c r="H371" s="11"/>
      <c r="I371" s="15"/>
      <c r="J371" s="13"/>
      <c r="K371" s="24"/>
      <c r="L371" s="17"/>
      <c r="M371" s="18"/>
      <c r="N371" s="19"/>
      <c r="O371" s="19"/>
      <c r="P371" s="19"/>
      <c r="S371" s="19"/>
      <c r="U371" s="19"/>
    </row>
    <row r="372" spans="2:21" s="20" customFormat="1" ht="13" x14ac:dyDescent="0.15">
      <c r="B372" s="11"/>
      <c r="C372" s="12"/>
      <c r="D372" s="12"/>
      <c r="E372" s="12"/>
      <c r="F372" s="13"/>
      <c r="G372" s="11"/>
      <c r="H372" s="11"/>
      <c r="I372" s="15"/>
      <c r="J372" s="13"/>
      <c r="K372" s="24"/>
      <c r="L372" s="17"/>
      <c r="M372" s="18"/>
      <c r="N372" s="19"/>
      <c r="O372" s="19"/>
      <c r="P372" s="19"/>
      <c r="S372" s="19"/>
      <c r="U372" s="19"/>
    </row>
    <row r="373" spans="2:21" s="20" customFormat="1" ht="13" x14ac:dyDescent="0.15">
      <c r="B373" s="11"/>
      <c r="C373" s="12"/>
      <c r="D373" s="12"/>
      <c r="E373" s="12"/>
      <c r="F373" s="13"/>
      <c r="G373" s="11"/>
      <c r="H373" s="11"/>
      <c r="I373" s="15"/>
      <c r="J373" s="13"/>
      <c r="K373" s="24"/>
      <c r="L373" s="17"/>
      <c r="M373" s="18"/>
      <c r="N373" s="19"/>
      <c r="O373" s="19"/>
      <c r="P373" s="19"/>
      <c r="S373" s="19"/>
      <c r="U373" s="19"/>
    </row>
    <row r="374" spans="2:21" s="20" customFormat="1" ht="13" x14ac:dyDescent="0.15">
      <c r="B374" s="11"/>
      <c r="C374" s="12"/>
      <c r="D374" s="12"/>
      <c r="E374" s="12"/>
      <c r="F374" s="13"/>
      <c r="G374" s="11"/>
      <c r="H374" s="11"/>
      <c r="I374" s="15"/>
      <c r="J374" s="13"/>
      <c r="K374" s="24"/>
      <c r="L374" s="17"/>
      <c r="M374" s="18"/>
      <c r="N374" s="19"/>
      <c r="O374" s="19"/>
      <c r="P374" s="19"/>
      <c r="S374" s="19"/>
      <c r="U374" s="19"/>
    </row>
    <row r="375" spans="2:21" s="20" customFormat="1" ht="13" x14ac:dyDescent="0.15">
      <c r="B375" s="11"/>
      <c r="C375" s="12"/>
      <c r="D375" s="12"/>
      <c r="E375" s="12"/>
      <c r="F375" s="13"/>
      <c r="G375" s="11"/>
      <c r="H375" s="11"/>
      <c r="I375" s="15"/>
      <c r="J375" s="13"/>
      <c r="K375" s="24"/>
      <c r="L375" s="17"/>
      <c r="M375" s="18"/>
      <c r="N375" s="19"/>
      <c r="O375" s="19"/>
      <c r="P375" s="19"/>
      <c r="S375" s="19"/>
      <c r="U375" s="19"/>
    </row>
    <row r="376" spans="2:21" s="20" customFormat="1" ht="13" x14ac:dyDescent="0.15">
      <c r="B376" s="11"/>
      <c r="C376" s="12"/>
      <c r="D376" s="12"/>
      <c r="E376" s="12"/>
      <c r="F376" s="13"/>
      <c r="G376" s="11"/>
      <c r="H376" s="11"/>
      <c r="I376" s="15"/>
      <c r="J376" s="13"/>
      <c r="K376" s="24"/>
      <c r="L376" s="17"/>
      <c r="M376" s="18"/>
      <c r="N376" s="19"/>
      <c r="O376" s="19"/>
      <c r="P376" s="19"/>
      <c r="S376" s="19"/>
      <c r="U376" s="19"/>
    </row>
    <row r="377" spans="2:21" s="20" customFormat="1" ht="13" x14ac:dyDescent="0.15">
      <c r="B377" s="11"/>
      <c r="C377" s="12"/>
      <c r="D377" s="12"/>
      <c r="E377" s="12"/>
      <c r="F377" s="13"/>
      <c r="G377" s="11"/>
      <c r="H377" s="11"/>
      <c r="I377" s="15"/>
      <c r="J377" s="13"/>
      <c r="K377" s="24"/>
      <c r="L377" s="17"/>
      <c r="M377" s="18"/>
      <c r="N377" s="19"/>
      <c r="O377" s="19"/>
      <c r="P377" s="19"/>
      <c r="S377" s="19"/>
      <c r="U377" s="19"/>
    </row>
    <row r="378" spans="2:21" s="20" customFormat="1" ht="13" x14ac:dyDescent="0.15">
      <c r="B378" s="11"/>
      <c r="C378" s="12"/>
      <c r="D378" s="12"/>
      <c r="E378" s="12"/>
      <c r="F378" s="13"/>
      <c r="G378" s="11"/>
      <c r="H378" s="11"/>
      <c r="I378" s="15"/>
      <c r="J378" s="13"/>
      <c r="K378" s="24"/>
      <c r="L378" s="17"/>
      <c r="M378" s="18"/>
      <c r="N378" s="19"/>
      <c r="O378" s="19"/>
      <c r="P378" s="19"/>
      <c r="S378" s="19"/>
      <c r="U378" s="19"/>
    </row>
    <row r="379" spans="2:21" s="20" customFormat="1" ht="13" x14ac:dyDescent="0.15">
      <c r="B379" s="11"/>
      <c r="C379" s="12"/>
      <c r="D379" s="12"/>
      <c r="E379" s="12"/>
      <c r="F379" s="13"/>
      <c r="G379" s="11"/>
      <c r="H379" s="11"/>
      <c r="I379" s="15"/>
      <c r="J379" s="13"/>
      <c r="K379" s="24"/>
      <c r="L379" s="17"/>
      <c r="M379" s="18"/>
      <c r="N379" s="19"/>
      <c r="O379" s="19"/>
      <c r="P379" s="19"/>
      <c r="S379" s="19"/>
      <c r="U379" s="19"/>
    </row>
    <row r="380" spans="2:21" s="20" customFormat="1" ht="13" x14ac:dyDescent="0.15">
      <c r="B380" s="11"/>
      <c r="C380" s="12"/>
      <c r="D380" s="12"/>
      <c r="E380" s="12"/>
      <c r="F380" s="13"/>
      <c r="G380" s="11"/>
      <c r="H380" s="11"/>
      <c r="I380" s="15"/>
      <c r="J380" s="13"/>
      <c r="K380" s="24"/>
      <c r="L380" s="17"/>
      <c r="M380" s="18"/>
      <c r="N380" s="19"/>
      <c r="O380" s="19"/>
      <c r="P380" s="19"/>
      <c r="S380" s="19"/>
      <c r="U380" s="19"/>
    </row>
    <row r="381" spans="2:21" s="20" customFormat="1" ht="13" x14ac:dyDescent="0.15">
      <c r="B381" s="11"/>
      <c r="C381" s="12"/>
      <c r="D381" s="12"/>
      <c r="E381" s="12"/>
      <c r="F381" s="13"/>
      <c r="G381" s="11"/>
      <c r="H381" s="11"/>
      <c r="I381" s="15"/>
      <c r="J381" s="13"/>
      <c r="K381" s="24"/>
      <c r="L381" s="17"/>
      <c r="M381" s="18"/>
      <c r="N381" s="19"/>
      <c r="O381" s="19"/>
      <c r="P381" s="19"/>
      <c r="S381" s="19"/>
      <c r="U381" s="19"/>
    </row>
    <row r="382" spans="2:21" s="20" customFormat="1" ht="13" x14ac:dyDescent="0.15">
      <c r="B382" s="11"/>
      <c r="C382" s="12"/>
      <c r="D382" s="12"/>
      <c r="E382" s="12"/>
      <c r="F382" s="13"/>
      <c r="G382" s="11"/>
      <c r="H382" s="11"/>
      <c r="I382" s="15"/>
      <c r="J382" s="13"/>
      <c r="K382" s="24"/>
      <c r="L382" s="17"/>
      <c r="M382" s="18"/>
      <c r="N382" s="19"/>
      <c r="O382" s="19"/>
      <c r="P382" s="19"/>
      <c r="S382" s="19"/>
      <c r="U382" s="19"/>
    </row>
    <row r="383" spans="2:21" s="20" customFormat="1" ht="13" x14ac:dyDescent="0.15">
      <c r="B383" s="11"/>
      <c r="C383" s="12"/>
      <c r="D383" s="12"/>
      <c r="E383" s="12"/>
      <c r="F383" s="13"/>
      <c r="G383" s="11"/>
      <c r="H383" s="11"/>
      <c r="I383" s="15"/>
      <c r="J383" s="13"/>
      <c r="K383" s="24"/>
      <c r="L383" s="17"/>
      <c r="M383" s="18"/>
      <c r="N383" s="19"/>
      <c r="O383" s="19"/>
      <c r="P383" s="19"/>
      <c r="S383" s="19"/>
      <c r="U383" s="19"/>
    </row>
    <row r="384" spans="2:21" s="20" customFormat="1" ht="13" x14ac:dyDescent="0.15">
      <c r="B384" s="11"/>
      <c r="C384" s="12"/>
      <c r="D384" s="12"/>
      <c r="E384" s="12"/>
      <c r="F384" s="13"/>
      <c r="G384" s="11"/>
      <c r="H384" s="11"/>
      <c r="I384" s="15"/>
      <c r="J384" s="13"/>
      <c r="K384" s="24"/>
      <c r="L384" s="17"/>
      <c r="M384" s="18"/>
      <c r="N384" s="19"/>
      <c r="O384" s="19"/>
      <c r="P384" s="19"/>
      <c r="S384" s="19"/>
      <c r="U384" s="19"/>
    </row>
    <row r="385" spans="2:21" s="20" customFormat="1" ht="13" x14ac:dyDescent="0.15">
      <c r="B385" s="11"/>
      <c r="C385" s="12"/>
      <c r="D385" s="12"/>
      <c r="E385" s="12"/>
      <c r="F385" s="13"/>
      <c r="G385" s="11"/>
      <c r="H385" s="11"/>
      <c r="I385" s="15"/>
      <c r="J385" s="13"/>
      <c r="K385" s="24"/>
      <c r="L385" s="17"/>
      <c r="M385" s="18"/>
      <c r="N385" s="19"/>
      <c r="O385" s="19"/>
      <c r="P385" s="19"/>
      <c r="S385" s="19"/>
      <c r="U385" s="19"/>
    </row>
    <row r="386" spans="2:21" s="20" customFormat="1" ht="13" x14ac:dyDescent="0.15">
      <c r="B386" s="11"/>
      <c r="C386" s="12"/>
      <c r="D386" s="12"/>
      <c r="E386" s="12"/>
      <c r="F386" s="13"/>
      <c r="G386" s="11"/>
      <c r="H386" s="11"/>
      <c r="I386" s="15"/>
      <c r="J386" s="13"/>
      <c r="K386" s="24"/>
      <c r="L386" s="17"/>
      <c r="M386" s="18"/>
      <c r="N386" s="19"/>
      <c r="O386" s="19"/>
      <c r="P386" s="19"/>
      <c r="S386" s="19"/>
      <c r="U386" s="19"/>
    </row>
    <row r="387" spans="2:21" s="20" customFormat="1" ht="13" x14ac:dyDescent="0.15">
      <c r="B387" s="11"/>
      <c r="C387" s="12"/>
      <c r="D387" s="12"/>
      <c r="E387" s="12"/>
      <c r="F387" s="13"/>
      <c r="G387" s="11"/>
      <c r="H387" s="11"/>
      <c r="I387" s="15"/>
      <c r="J387" s="13"/>
      <c r="K387" s="24"/>
      <c r="L387" s="17"/>
      <c r="M387" s="18"/>
      <c r="N387" s="19"/>
      <c r="O387" s="19"/>
      <c r="P387" s="19"/>
      <c r="S387" s="19"/>
      <c r="U387" s="19"/>
    </row>
    <row r="388" spans="2:21" s="20" customFormat="1" ht="13" x14ac:dyDescent="0.15">
      <c r="B388" s="11"/>
      <c r="C388" s="12"/>
      <c r="D388" s="12"/>
      <c r="E388" s="12"/>
      <c r="F388" s="13"/>
      <c r="G388" s="11"/>
      <c r="H388" s="11"/>
      <c r="I388" s="15"/>
      <c r="J388" s="13"/>
      <c r="K388" s="24"/>
      <c r="L388" s="17"/>
      <c r="M388" s="18"/>
      <c r="N388" s="19"/>
      <c r="O388" s="19"/>
      <c r="P388" s="19"/>
      <c r="S388" s="19"/>
      <c r="U388" s="19"/>
    </row>
    <row r="389" spans="2:21" s="20" customFormat="1" ht="13" x14ac:dyDescent="0.15">
      <c r="B389" s="11"/>
      <c r="C389" s="12"/>
      <c r="D389" s="12"/>
      <c r="E389" s="12"/>
      <c r="F389" s="13"/>
      <c r="G389" s="11"/>
      <c r="H389" s="11"/>
      <c r="I389" s="15"/>
      <c r="J389" s="13"/>
      <c r="K389" s="24"/>
      <c r="L389" s="17"/>
      <c r="M389" s="18"/>
      <c r="N389" s="19"/>
      <c r="O389" s="19"/>
      <c r="P389" s="19"/>
      <c r="S389" s="19"/>
      <c r="U389" s="19"/>
    </row>
    <row r="390" spans="2:21" s="20" customFormat="1" ht="13" x14ac:dyDescent="0.15">
      <c r="B390" s="11"/>
      <c r="C390" s="12"/>
      <c r="D390" s="12"/>
      <c r="E390" s="12"/>
      <c r="F390" s="13"/>
      <c r="G390" s="11"/>
      <c r="H390" s="11"/>
      <c r="I390" s="15"/>
      <c r="J390" s="13"/>
      <c r="K390" s="24"/>
      <c r="L390" s="17"/>
      <c r="M390" s="18"/>
      <c r="N390" s="19"/>
      <c r="O390" s="19"/>
      <c r="P390" s="19"/>
      <c r="S390" s="19"/>
      <c r="U390" s="19"/>
    </row>
    <row r="391" spans="2:21" s="20" customFormat="1" ht="13" x14ac:dyDescent="0.15">
      <c r="B391" s="11"/>
      <c r="C391" s="12"/>
      <c r="D391" s="12"/>
      <c r="E391" s="12"/>
      <c r="F391" s="13"/>
      <c r="G391" s="11"/>
      <c r="H391" s="11"/>
      <c r="I391" s="15"/>
      <c r="J391" s="13"/>
      <c r="K391" s="24"/>
      <c r="L391" s="17"/>
      <c r="M391" s="18"/>
      <c r="N391" s="19"/>
      <c r="O391" s="19"/>
      <c r="P391" s="19"/>
      <c r="S391" s="19"/>
      <c r="U391" s="19"/>
    </row>
    <row r="392" spans="2:21" s="20" customFormat="1" ht="13" x14ac:dyDescent="0.15">
      <c r="B392" s="11"/>
      <c r="C392" s="12"/>
      <c r="D392" s="12"/>
      <c r="E392" s="12"/>
      <c r="F392" s="13"/>
      <c r="G392" s="11"/>
      <c r="H392" s="11"/>
      <c r="I392" s="15"/>
      <c r="J392" s="13"/>
      <c r="K392" s="24"/>
      <c r="L392" s="17"/>
      <c r="M392" s="18"/>
      <c r="N392" s="19"/>
      <c r="O392" s="19"/>
      <c r="P392" s="19"/>
      <c r="S392" s="19"/>
      <c r="U392" s="19"/>
    </row>
    <row r="393" spans="2:21" s="20" customFormat="1" ht="13" x14ac:dyDescent="0.15">
      <c r="B393" s="11"/>
      <c r="C393" s="12"/>
      <c r="D393" s="12"/>
      <c r="E393" s="12"/>
      <c r="F393" s="13"/>
      <c r="G393" s="11"/>
      <c r="H393" s="11"/>
      <c r="I393" s="15"/>
      <c r="J393" s="13"/>
      <c r="K393" s="24"/>
      <c r="L393" s="17"/>
      <c r="M393" s="18"/>
      <c r="N393" s="19"/>
      <c r="O393" s="19"/>
      <c r="P393" s="19"/>
      <c r="S393" s="19"/>
      <c r="U393" s="19"/>
    </row>
    <row r="394" spans="2:21" s="20" customFormat="1" ht="13" x14ac:dyDescent="0.15">
      <c r="B394" s="11"/>
      <c r="C394" s="12"/>
      <c r="D394" s="12"/>
      <c r="E394" s="12"/>
      <c r="F394" s="13"/>
      <c r="G394" s="11"/>
      <c r="H394" s="11"/>
      <c r="I394" s="15"/>
      <c r="J394" s="13"/>
      <c r="K394" s="24"/>
      <c r="L394" s="17"/>
      <c r="M394" s="18"/>
      <c r="N394" s="19"/>
      <c r="O394" s="19"/>
      <c r="P394" s="19"/>
      <c r="S394" s="19"/>
      <c r="U394" s="19"/>
    </row>
    <row r="395" spans="2:21" s="20" customFormat="1" ht="13" x14ac:dyDescent="0.15">
      <c r="B395" s="11"/>
      <c r="C395" s="12"/>
      <c r="D395" s="12"/>
      <c r="E395" s="12"/>
      <c r="F395" s="13"/>
      <c r="G395" s="11"/>
      <c r="H395" s="11"/>
      <c r="I395" s="15"/>
      <c r="J395" s="13"/>
      <c r="K395" s="24"/>
      <c r="L395" s="17"/>
      <c r="M395" s="18"/>
      <c r="N395" s="19"/>
      <c r="O395" s="19"/>
      <c r="P395" s="19"/>
      <c r="S395" s="19"/>
      <c r="U395" s="19"/>
    </row>
    <row r="396" spans="2:21" s="20" customFormat="1" ht="13" x14ac:dyDescent="0.15">
      <c r="B396" s="11"/>
      <c r="C396" s="12"/>
      <c r="D396" s="12"/>
      <c r="E396" s="12"/>
      <c r="F396" s="13"/>
      <c r="G396" s="11"/>
      <c r="H396" s="11"/>
      <c r="I396" s="15"/>
      <c r="J396" s="13"/>
      <c r="K396" s="24"/>
      <c r="L396" s="17"/>
      <c r="M396" s="18"/>
      <c r="N396" s="19"/>
      <c r="O396" s="19"/>
      <c r="P396" s="19"/>
      <c r="S396" s="19"/>
      <c r="U396" s="19"/>
    </row>
    <row r="397" spans="2:21" s="20" customFormat="1" ht="13" x14ac:dyDescent="0.15">
      <c r="B397" s="11"/>
      <c r="C397" s="12"/>
      <c r="D397" s="12"/>
      <c r="E397" s="12"/>
      <c r="F397" s="13"/>
      <c r="G397" s="11"/>
      <c r="H397" s="11"/>
      <c r="I397" s="15"/>
      <c r="J397" s="13"/>
      <c r="K397" s="24"/>
      <c r="L397" s="17"/>
      <c r="M397" s="18"/>
      <c r="N397" s="19"/>
      <c r="O397" s="19"/>
      <c r="P397" s="19"/>
      <c r="S397" s="19"/>
      <c r="U397" s="19"/>
    </row>
    <row r="398" spans="2:21" s="20" customFormat="1" ht="13" x14ac:dyDescent="0.15">
      <c r="B398" s="11"/>
      <c r="C398" s="12"/>
      <c r="D398" s="12"/>
      <c r="E398" s="12"/>
      <c r="F398" s="13"/>
      <c r="G398" s="11"/>
      <c r="H398" s="11"/>
      <c r="I398" s="15"/>
      <c r="J398" s="13"/>
      <c r="K398" s="24"/>
      <c r="L398" s="17"/>
      <c r="M398" s="18"/>
      <c r="N398" s="19"/>
      <c r="O398" s="19"/>
      <c r="P398" s="19"/>
      <c r="S398" s="19"/>
      <c r="U398" s="19"/>
    </row>
    <row r="399" spans="2:21" s="20" customFormat="1" ht="13" x14ac:dyDescent="0.15">
      <c r="B399" s="11"/>
      <c r="C399" s="12"/>
      <c r="D399" s="12"/>
      <c r="E399" s="12"/>
      <c r="F399" s="13"/>
      <c r="G399" s="11"/>
      <c r="H399" s="11"/>
      <c r="I399" s="15"/>
      <c r="J399" s="13"/>
      <c r="K399" s="24"/>
      <c r="L399" s="17"/>
      <c r="M399" s="18"/>
      <c r="N399" s="19"/>
      <c r="O399" s="19"/>
      <c r="P399" s="19"/>
      <c r="S399" s="19"/>
      <c r="U399" s="19"/>
    </row>
    <row r="400" spans="2:21" s="20" customFormat="1" ht="13" x14ac:dyDescent="0.15">
      <c r="B400" s="11"/>
      <c r="C400" s="12"/>
      <c r="D400" s="12"/>
      <c r="E400" s="12"/>
      <c r="F400" s="13"/>
      <c r="G400" s="11"/>
      <c r="H400" s="11"/>
      <c r="I400" s="15"/>
      <c r="J400" s="13"/>
      <c r="K400" s="24"/>
      <c r="L400" s="17"/>
      <c r="M400" s="18"/>
      <c r="N400" s="19"/>
      <c r="O400" s="19"/>
      <c r="P400" s="19"/>
      <c r="S400" s="19"/>
      <c r="U400" s="19"/>
    </row>
    <row r="401" spans="2:21" s="20" customFormat="1" ht="13" x14ac:dyDescent="0.15">
      <c r="B401" s="11"/>
      <c r="C401" s="12"/>
      <c r="D401" s="12"/>
      <c r="E401" s="12"/>
      <c r="F401" s="13"/>
      <c r="G401" s="11"/>
      <c r="H401" s="11"/>
      <c r="I401" s="15"/>
      <c r="J401" s="13"/>
      <c r="K401" s="24"/>
      <c r="L401" s="17"/>
      <c r="M401" s="18"/>
      <c r="N401" s="19"/>
      <c r="O401" s="19"/>
      <c r="P401" s="19"/>
      <c r="S401" s="19"/>
      <c r="U401" s="19"/>
    </row>
    <row r="402" spans="2:21" s="20" customFormat="1" ht="13" x14ac:dyDescent="0.15">
      <c r="B402" s="11"/>
      <c r="C402" s="12"/>
      <c r="D402" s="12"/>
      <c r="E402" s="12"/>
      <c r="F402" s="13"/>
      <c r="G402" s="11"/>
      <c r="H402" s="11"/>
      <c r="I402" s="15"/>
      <c r="J402" s="13"/>
      <c r="K402" s="24"/>
      <c r="L402" s="17"/>
      <c r="M402" s="18"/>
      <c r="N402" s="19"/>
      <c r="O402" s="19"/>
      <c r="P402" s="19"/>
      <c r="S402" s="19"/>
      <c r="U402" s="19"/>
    </row>
    <row r="403" spans="2:21" s="20" customFormat="1" ht="13" x14ac:dyDescent="0.15">
      <c r="B403" s="11"/>
      <c r="C403" s="12"/>
      <c r="D403" s="12"/>
      <c r="E403" s="12"/>
      <c r="F403" s="13"/>
      <c r="G403" s="11"/>
      <c r="H403" s="11"/>
      <c r="I403" s="15"/>
      <c r="J403" s="13"/>
      <c r="K403" s="24"/>
      <c r="L403" s="17"/>
      <c r="M403" s="18"/>
      <c r="N403" s="19"/>
      <c r="O403" s="19"/>
      <c r="P403" s="19"/>
      <c r="S403" s="19"/>
      <c r="U403" s="19"/>
    </row>
    <row r="404" spans="2:21" s="20" customFormat="1" ht="13" x14ac:dyDescent="0.15">
      <c r="B404" s="11"/>
      <c r="C404" s="12"/>
      <c r="D404" s="12"/>
      <c r="E404" s="12"/>
      <c r="F404" s="13"/>
      <c r="G404" s="11"/>
      <c r="H404" s="11"/>
      <c r="I404" s="15"/>
      <c r="J404" s="13"/>
      <c r="K404" s="24"/>
      <c r="L404" s="17"/>
      <c r="M404" s="18"/>
      <c r="N404" s="19"/>
      <c r="O404" s="19"/>
      <c r="P404" s="19"/>
      <c r="S404" s="19"/>
      <c r="U404" s="19"/>
    </row>
    <row r="405" spans="2:21" s="20" customFormat="1" ht="13" x14ac:dyDescent="0.15">
      <c r="B405" s="11"/>
      <c r="C405" s="12"/>
      <c r="D405" s="12"/>
      <c r="E405" s="12"/>
      <c r="F405" s="13"/>
      <c r="G405" s="11"/>
      <c r="H405" s="11"/>
      <c r="I405" s="15"/>
      <c r="J405" s="13"/>
      <c r="K405" s="24"/>
      <c r="L405" s="17"/>
      <c r="M405" s="18"/>
      <c r="N405" s="19"/>
      <c r="O405" s="19"/>
      <c r="P405" s="19"/>
      <c r="S405" s="19"/>
      <c r="U405" s="19"/>
    </row>
    <row r="406" spans="2:21" s="20" customFormat="1" ht="13" x14ac:dyDescent="0.15">
      <c r="B406" s="11"/>
      <c r="C406" s="12"/>
      <c r="D406" s="12"/>
      <c r="E406" s="12"/>
      <c r="F406" s="13"/>
      <c r="G406" s="11"/>
      <c r="H406" s="11"/>
      <c r="I406" s="15"/>
      <c r="J406" s="13"/>
      <c r="K406" s="24"/>
      <c r="L406" s="17"/>
      <c r="M406" s="18"/>
      <c r="N406" s="19"/>
      <c r="O406" s="19"/>
      <c r="P406" s="19"/>
      <c r="S406" s="19"/>
      <c r="U406" s="19"/>
    </row>
    <row r="407" spans="2:21" s="20" customFormat="1" ht="13" x14ac:dyDescent="0.15">
      <c r="B407" s="11"/>
      <c r="C407" s="12"/>
      <c r="D407" s="12"/>
      <c r="E407" s="12"/>
      <c r="F407" s="13"/>
      <c r="G407" s="11"/>
      <c r="H407" s="11"/>
      <c r="I407" s="15"/>
      <c r="J407" s="13"/>
      <c r="K407" s="24"/>
      <c r="L407" s="17"/>
      <c r="M407" s="18"/>
      <c r="N407" s="19"/>
      <c r="O407" s="19"/>
      <c r="P407" s="19"/>
      <c r="S407" s="19"/>
      <c r="U407" s="19"/>
    </row>
    <row r="408" spans="2:21" s="20" customFormat="1" ht="13" x14ac:dyDescent="0.15">
      <c r="B408" s="11"/>
      <c r="C408" s="12"/>
      <c r="D408" s="12"/>
      <c r="E408" s="12"/>
      <c r="F408" s="13"/>
      <c r="G408" s="11"/>
      <c r="H408" s="11"/>
      <c r="I408" s="15"/>
      <c r="J408" s="13"/>
      <c r="K408" s="24"/>
      <c r="L408" s="17"/>
      <c r="M408" s="18"/>
      <c r="N408" s="19"/>
      <c r="O408" s="19"/>
      <c r="P408" s="19"/>
      <c r="S408" s="19"/>
      <c r="U408" s="19"/>
    </row>
    <row r="409" spans="2:21" s="20" customFormat="1" ht="13" x14ac:dyDescent="0.15">
      <c r="B409" s="11"/>
      <c r="C409" s="12"/>
      <c r="D409" s="12"/>
      <c r="E409" s="12"/>
      <c r="F409" s="13"/>
      <c r="G409" s="11"/>
      <c r="H409" s="11"/>
      <c r="I409" s="15"/>
      <c r="J409" s="13"/>
      <c r="K409" s="24"/>
      <c r="L409" s="17"/>
      <c r="M409" s="18"/>
      <c r="N409" s="19"/>
      <c r="O409" s="19"/>
      <c r="P409" s="19"/>
      <c r="S409" s="19"/>
      <c r="U409" s="19"/>
    </row>
    <row r="410" spans="2:21" s="20" customFormat="1" ht="13" x14ac:dyDescent="0.15">
      <c r="B410" s="11"/>
      <c r="C410" s="12"/>
      <c r="D410" s="12"/>
      <c r="E410" s="12"/>
      <c r="F410" s="13"/>
      <c r="G410" s="11"/>
      <c r="H410" s="11"/>
      <c r="I410" s="15"/>
      <c r="J410" s="13"/>
      <c r="K410" s="24"/>
      <c r="L410" s="17"/>
      <c r="M410" s="18"/>
      <c r="N410" s="19"/>
      <c r="O410" s="19"/>
      <c r="P410" s="19"/>
      <c r="S410" s="19"/>
      <c r="U410" s="19"/>
    </row>
    <row r="411" spans="2:21" s="20" customFormat="1" ht="13" x14ac:dyDescent="0.15">
      <c r="B411" s="11"/>
      <c r="C411" s="12"/>
      <c r="D411" s="12"/>
      <c r="E411" s="12"/>
      <c r="F411" s="13"/>
      <c r="G411" s="11"/>
      <c r="H411" s="11"/>
      <c r="I411" s="15"/>
      <c r="J411" s="13"/>
      <c r="K411" s="24"/>
      <c r="L411" s="17"/>
      <c r="M411" s="18"/>
      <c r="N411" s="19"/>
      <c r="O411" s="19"/>
      <c r="P411" s="19"/>
      <c r="S411" s="19"/>
      <c r="U411" s="19"/>
    </row>
    <row r="412" spans="2:21" s="20" customFormat="1" ht="13" x14ac:dyDescent="0.15">
      <c r="B412" s="11"/>
      <c r="C412" s="12"/>
      <c r="D412" s="12"/>
      <c r="E412" s="12"/>
      <c r="F412" s="13"/>
      <c r="G412" s="11"/>
      <c r="H412" s="11"/>
      <c r="I412" s="15"/>
      <c r="J412" s="13"/>
      <c r="K412" s="24"/>
      <c r="L412" s="17"/>
      <c r="M412" s="18"/>
      <c r="N412" s="19"/>
      <c r="O412" s="19"/>
      <c r="P412" s="19"/>
      <c r="S412" s="19"/>
      <c r="U412" s="19"/>
    </row>
    <row r="413" spans="2:21" s="20" customFormat="1" ht="13" x14ac:dyDescent="0.15">
      <c r="B413" s="11"/>
      <c r="C413" s="12"/>
      <c r="D413" s="12"/>
      <c r="E413" s="12"/>
      <c r="F413" s="13"/>
      <c r="G413" s="11"/>
      <c r="H413" s="11"/>
      <c r="I413" s="15"/>
      <c r="J413" s="13"/>
      <c r="K413" s="24"/>
      <c r="L413" s="17"/>
      <c r="M413" s="18"/>
      <c r="N413" s="19"/>
      <c r="O413" s="19"/>
      <c r="P413" s="19"/>
      <c r="S413" s="19"/>
      <c r="U413" s="19"/>
    </row>
    <row r="414" spans="2:21" s="20" customFormat="1" ht="13" x14ac:dyDescent="0.15">
      <c r="B414" s="11"/>
      <c r="C414" s="12"/>
      <c r="D414" s="12"/>
      <c r="E414" s="12"/>
      <c r="F414" s="13"/>
      <c r="G414" s="11"/>
      <c r="H414" s="11"/>
      <c r="I414" s="15"/>
      <c r="J414" s="13"/>
      <c r="K414" s="24"/>
      <c r="L414" s="17"/>
      <c r="M414" s="18"/>
      <c r="N414" s="19"/>
      <c r="O414" s="19"/>
      <c r="P414" s="19"/>
      <c r="S414" s="19"/>
      <c r="U414" s="19"/>
    </row>
    <row r="415" spans="2:21" s="20" customFormat="1" ht="13" x14ac:dyDescent="0.15">
      <c r="B415" s="11"/>
      <c r="C415" s="12"/>
      <c r="D415" s="12"/>
      <c r="E415" s="12"/>
      <c r="F415" s="13"/>
      <c r="G415" s="11"/>
      <c r="H415" s="11"/>
      <c r="I415" s="15"/>
      <c r="J415" s="13"/>
      <c r="K415" s="24"/>
      <c r="L415" s="17"/>
      <c r="M415" s="18"/>
      <c r="N415" s="19"/>
      <c r="O415" s="19"/>
      <c r="P415" s="19"/>
      <c r="S415" s="19"/>
      <c r="U415" s="19"/>
    </row>
    <row r="416" spans="2:21" s="20" customFormat="1" ht="13" x14ac:dyDescent="0.15">
      <c r="B416" s="11"/>
      <c r="C416" s="12"/>
      <c r="D416" s="12"/>
      <c r="E416" s="12"/>
      <c r="F416" s="13"/>
      <c r="G416" s="11"/>
      <c r="H416" s="11"/>
      <c r="I416" s="15"/>
      <c r="J416" s="13"/>
      <c r="K416" s="24"/>
      <c r="L416" s="17"/>
      <c r="M416" s="18"/>
      <c r="N416" s="19"/>
      <c r="O416" s="19"/>
      <c r="P416" s="19"/>
      <c r="S416" s="19"/>
      <c r="U416" s="19"/>
    </row>
    <row r="417" spans="2:21" s="20" customFormat="1" ht="13" x14ac:dyDescent="0.15">
      <c r="B417" s="11"/>
      <c r="C417" s="12"/>
      <c r="D417" s="12"/>
      <c r="E417" s="12"/>
      <c r="F417" s="13"/>
      <c r="G417" s="11"/>
      <c r="H417" s="11"/>
      <c r="I417" s="15"/>
      <c r="J417" s="13"/>
      <c r="K417" s="24"/>
      <c r="L417" s="17"/>
      <c r="M417" s="18"/>
      <c r="N417" s="19"/>
      <c r="O417" s="19"/>
      <c r="P417" s="19"/>
      <c r="S417" s="19"/>
      <c r="U417" s="19"/>
    </row>
    <row r="418" spans="2:21" s="20" customFormat="1" ht="13" x14ac:dyDescent="0.15">
      <c r="B418" s="11"/>
      <c r="C418" s="12"/>
      <c r="D418" s="12"/>
      <c r="E418" s="12"/>
      <c r="F418" s="13"/>
      <c r="G418" s="11"/>
      <c r="H418" s="11"/>
      <c r="I418" s="15"/>
      <c r="J418" s="13"/>
      <c r="K418" s="24"/>
      <c r="L418" s="17"/>
      <c r="M418" s="18"/>
      <c r="N418" s="19"/>
      <c r="O418" s="19"/>
      <c r="P418" s="19"/>
      <c r="S418" s="19"/>
      <c r="U418" s="19"/>
    </row>
    <row r="419" spans="2:21" s="20" customFormat="1" ht="13" x14ac:dyDescent="0.15">
      <c r="B419" s="11"/>
      <c r="C419" s="12"/>
      <c r="D419" s="12"/>
      <c r="E419" s="12"/>
      <c r="F419" s="13"/>
      <c r="G419" s="11"/>
      <c r="H419" s="11"/>
      <c r="I419" s="15"/>
      <c r="J419" s="13"/>
      <c r="K419" s="24"/>
      <c r="L419" s="17"/>
      <c r="M419" s="18"/>
      <c r="N419" s="19"/>
      <c r="O419" s="19"/>
      <c r="P419" s="19"/>
      <c r="S419" s="19"/>
      <c r="U419" s="19"/>
    </row>
    <row r="420" spans="2:21" s="20" customFormat="1" ht="13" x14ac:dyDescent="0.15">
      <c r="B420" s="11"/>
      <c r="C420" s="12"/>
      <c r="D420" s="12"/>
      <c r="E420" s="12"/>
      <c r="F420" s="13"/>
      <c r="G420" s="11"/>
      <c r="H420" s="11"/>
      <c r="I420" s="15"/>
      <c r="J420" s="13"/>
      <c r="K420" s="24"/>
      <c r="L420" s="17"/>
      <c r="M420" s="18"/>
      <c r="N420" s="19"/>
      <c r="O420" s="19"/>
      <c r="P420" s="19"/>
      <c r="S420" s="19"/>
      <c r="U420" s="19"/>
    </row>
    <row r="421" spans="2:21" s="20" customFormat="1" ht="13" x14ac:dyDescent="0.15">
      <c r="B421" s="11"/>
      <c r="C421" s="12"/>
      <c r="D421" s="12"/>
      <c r="E421" s="12"/>
      <c r="F421" s="13"/>
      <c r="G421" s="11"/>
      <c r="H421" s="11"/>
      <c r="I421" s="15"/>
      <c r="J421" s="13"/>
      <c r="K421" s="24"/>
      <c r="L421" s="17"/>
      <c r="M421" s="18"/>
      <c r="N421" s="19"/>
      <c r="O421" s="19"/>
      <c r="P421" s="19"/>
      <c r="S421" s="19"/>
      <c r="U421" s="19"/>
    </row>
    <row r="422" spans="2:21" s="20" customFormat="1" ht="13" x14ac:dyDescent="0.15">
      <c r="B422" s="11"/>
      <c r="C422" s="12"/>
      <c r="D422" s="12"/>
      <c r="E422" s="12"/>
      <c r="F422" s="13"/>
      <c r="G422" s="11"/>
      <c r="H422" s="11"/>
      <c r="I422" s="15"/>
      <c r="J422" s="13"/>
      <c r="K422" s="24"/>
      <c r="L422" s="17"/>
      <c r="M422" s="18"/>
      <c r="N422" s="19"/>
      <c r="O422" s="19"/>
      <c r="P422" s="19"/>
      <c r="S422" s="19"/>
      <c r="U422" s="19"/>
    </row>
    <row r="423" spans="2:21" s="20" customFormat="1" ht="13" x14ac:dyDescent="0.15">
      <c r="B423" s="11"/>
      <c r="C423" s="12"/>
      <c r="D423" s="12"/>
      <c r="E423" s="12"/>
      <c r="F423" s="13"/>
      <c r="G423" s="11"/>
      <c r="H423" s="11"/>
      <c r="I423" s="15"/>
      <c r="J423" s="13"/>
      <c r="K423" s="24"/>
      <c r="L423" s="17"/>
      <c r="M423" s="18"/>
      <c r="N423" s="19"/>
      <c r="O423" s="19"/>
      <c r="P423" s="19"/>
      <c r="S423" s="19"/>
      <c r="U423" s="19"/>
    </row>
    <row r="424" spans="2:21" s="20" customFormat="1" ht="13" x14ac:dyDescent="0.15">
      <c r="B424" s="11"/>
      <c r="C424" s="12"/>
      <c r="D424" s="12"/>
      <c r="E424" s="12"/>
      <c r="F424" s="13"/>
      <c r="G424" s="11"/>
      <c r="H424" s="11"/>
      <c r="I424" s="15"/>
      <c r="J424" s="13"/>
      <c r="K424" s="24"/>
      <c r="L424" s="17"/>
      <c r="M424" s="18"/>
      <c r="N424" s="19"/>
      <c r="O424" s="19"/>
      <c r="P424" s="19"/>
      <c r="S424" s="19"/>
      <c r="U424" s="19"/>
    </row>
    <row r="425" spans="2:21" s="20" customFormat="1" ht="13" x14ac:dyDescent="0.15">
      <c r="B425" s="11"/>
      <c r="C425" s="12"/>
      <c r="D425" s="12"/>
      <c r="E425" s="12"/>
      <c r="F425" s="13"/>
      <c r="G425" s="11"/>
      <c r="H425" s="11"/>
      <c r="I425" s="15"/>
      <c r="J425" s="13"/>
      <c r="K425" s="24"/>
      <c r="L425" s="17"/>
      <c r="M425" s="18"/>
      <c r="N425" s="19"/>
      <c r="O425" s="19"/>
      <c r="P425" s="19"/>
      <c r="S425" s="19"/>
      <c r="U425" s="19"/>
    </row>
    <row r="426" spans="2:21" s="20" customFormat="1" ht="13" x14ac:dyDescent="0.15">
      <c r="B426" s="11"/>
      <c r="C426" s="12"/>
      <c r="D426" s="12"/>
      <c r="E426" s="12"/>
      <c r="F426" s="13"/>
      <c r="G426" s="11"/>
      <c r="H426" s="11"/>
      <c r="I426" s="15"/>
      <c r="J426" s="13"/>
      <c r="K426" s="24"/>
      <c r="L426" s="17"/>
      <c r="M426" s="18"/>
      <c r="N426" s="19"/>
      <c r="O426" s="19"/>
      <c r="P426" s="19"/>
      <c r="S426" s="19"/>
      <c r="U426" s="19"/>
    </row>
    <row r="427" spans="2:21" s="20" customFormat="1" ht="13" x14ac:dyDescent="0.15">
      <c r="B427" s="11"/>
      <c r="C427" s="12"/>
      <c r="D427" s="12"/>
      <c r="E427" s="12"/>
      <c r="F427" s="13"/>
      <c r="G427" s="11"/>
      <c r="H427" s="11"/>
      <c r="I427" s="15"/>
      <c r="J427" s="13"/>
      <c r="K427" s="24"/>
      <c r="L427" s="17"/>
      <c r="M427" s="18"/>
      <c r="N427" s="19"/>
      <c r="O427" s="19"/>
      <c r="P427" s="19"/>
      <c r="S427" s="19"/>
      <c r="U427" s="19"/>
    </row>
    <row r="428" spans="2:21" s="20" customFormat="1" ht="13" x14ac:dyDescent="0.15">
      <c r="B428" s="11"/>
      <c r="C428" s="12"/>
      <c r="D428" s="12"/>
      <c r="E428" s="12"/>
      <c r="F428" s="13"/>
      <c r="G428" s="11"/>
      <c r="H428" s="11"/>
      <c r="I428" s="15"/>
      <c r="J428" s="13"/>
      <c r="K428" s="24"/>
      <c r="L428" s="17"/>
      <c r="M428" s="18"/>
      <c r="N428" s="19"/>
      <c r="O428" s="19"/>
      <c r="P428" s="19"/>
      <c r="S428" s="19"/>
      <c r="U428" s="19"/>
    </row>
    <row r="429" spans="2:21" s="20" customFormat="1" ht="13" x14ac:dyDescent="0.15">
      <c r="B429" s="11"/>
      <c r="C429" s="12"/>
      <c r="D429" s="12"/>
      <c r="E429" s="12"/>
      <c r="F429" s="13"/>
      <c r="G429" s="11"/>
      <c r="H429" s="11"/>
      <c r="I429" s="15"/>
      <c r="J429" s="13"/>
      <c r="K429" s="24"/>
      <c r="L429" s="17"/>
      <c r="M429" s="18"/>
      <c r="N429" s="19"/>
      <c r="O429" s="19"/>
      <c r="P429" s="19"/>
      <c r="S429" s="19"/>
      <c r="U429" s="19"/>
    </row>
    <row r="430" spans="2:21" s="20" customFormat="1" ht="13" x14ac:dyDescent="0.15">
      <c r="B430" s="11"/>
      <c r="C430" s="12"/>
      <c r="D430" s="12"/>
      <c r="E430" s="12"/>
      <c r="F430" s="13"/>
      <c r="G430" s="11"/>
      <c r="H430" s="11"/>
      <c r="I430" s="15"/>
      <c r="J430" s="13"/>
      <c r="K430" s="24"/>
      <c r="L430" s="17"/>
      <c r="M430" s="18"/>
      <c r="N430" s="19"/>
      <c r="O430" s="19"/>
      <c r="P430" s="19"/>
      <c r="S430" s="19"/>
      <c r="U430" s="19"/>
    </row>
    <row r="431" spans="2:21" s="20" customFormat="1" ht="13" x14ac:dyDescent="0.15">
      <c r="B431" s="11"/>
      <c r="C431" s="12"/>
      <c r="D431" s="12"/>
      <c r="E431" s="12"/>
      <c r="F431" s="13"/>
      <c r="G431" s="11"/>
      <c r="H431" s="11"/>
      <c r="I431" s="15"/>
      <c r="J431" s="13"/>
      <c r="K431" s="24"/>
      <c r="L431" s="17"/>
      <c r="M431" s="18"/>
      <c r="N431" s="19"/>
      <c r="O431" s="19"/>
      <c r="P431" s="19"/>
      <c r="S431" s="19"/>
      <c r="U431" s="19"/>
    </row>
    <row r="432" spans="2:21" s="20" customFormat="1" ht="13" x14ac:dyDescent="0.15">
      <c r="B432" s="11"/>
      <c r="C432" s="12"/>
      <c r="D432" s="12"/>
      <c r="E432" s="12"/>
      <c r="F432" s="13"/>
      <c r="G432" s="11"/>
      <c r="H432" s="11"/>
      <c r="I432" s="15"/>
      <c r="J432" s="13"/>
      <c r="K432" s="24"/>
      <c r="L432" s="17"/>
      <c r="M432" s="18"/>
      <c r="N432" s="19"/>
      <c r="O432" s="19"/>
      <c r="P432" s="19"/>
      <c r="S432" s="19"/>
      <c r="U432" s="19"/>
    </row>
    <row r="433" spans="2:21" s="20" customFormat="1" ht="13" x14ac:dyDescent="0.15">
      <c r="B433" s="11"/>
      <c r="C433" s="12"/>
      <c r="D433" s="12"/>
      <c r="E433" s="12"/>
      <c r="F433" s="13"/>
      <c r="G433" s="11"/>
      <c r="H433" s="11"/>
      <c r="I433" s="15"/>
      <c r="J433" s="13"/>
      <c r="K433" s="24"/>
      <c r="L433" s="17"/>
      <c r="M433" s="18"/>
      <c r="N433" s="19"/>
      <c r="O433" s="19"/>
      <c r="P433" s="19"/>
      <c r="S433" s="19"/>
      <c r="U433" s="19"/>
    </row>
    <row r="434" spans="2:21" s="20" customFormat="1" ht="13" x14ac:dyDescent="0.15">
      <c r="B434" s="11"/>
      <c r="C434" s="12"/>
      <c r="D434" s="12"/>
      <c r="E434" s="12"/>
      <c r="F434" s="13"/>
      <c r="G434" s="11"/>
      <c r="H434" s="11"/>
      <c r="I434" s="15"/>
      <c r="J434" s="13"/>
      <c r="K434" s="24"/>
      <c r="L434" s="17"/>
      <c r="M434" s="18"/>
      <c r="N434" s="19"/>
      <c r="O434" s="19"/>
      <c r="P434" s="19"/>
      <c r="S434" s="19"/>
      <c r="U434" s="19"/>
    </row>
    <row r="435" spans="2:21" s="20" customFormat="1" ht="13" x14ac:dyDescent="0.15">
      <c r="B435" s="11"/>
      <c r="C435" s="12"/>
      <c r="D435" s="12"/>
      <c r="E435" s="12"/>
      <c r="F435" s="13"/>
      <c r="G435" s="11"/>
      <c r="H435" s="11"/>
      <c r="I435" s="15"/>
      <c r="J435" s="13"/>
      <c r="K435" s="24"/>
      <c r="L435" s="17"/>
      <c r="M435" s="18"/>
      <c r="N435" s="19"/>
      <c r="O435" s="19"/>
      <c r="P435" s="19"/>
      <c r="S435" s="19"/>
      <c r="U435" s="19"/>
    </row>
    <row r="436" spans="2:21" s="20" customFormat="1" ht="13" x14ac:dyDescent="0.15">
      <c r="B436" s="11"/>
      <c r="C436" s="12"/>
      <c r="D436" s="12"/>
      <c r="E436" s="12"/>
      <c r="F436" s="13"/>
      <c r="G436" s="11"/>
      <c r="H436" s="11"/>
      <c r="I436" s="15"/>
      <c r="J436" s="13"/>
      <c r="K436" s="24"/>
      <c r="L436" s="17"/>
      <c r="M436" s="18"/>
      <c r="N436" s="19"/>
      <c r="O436" s="19"/>
      <c r="P436" s="19"/>
      <c r="S436" s="19"/>
      <c r="U436" s="19"/>
    </row>
    <row r="437" spans="2:21" s="20" customFormat="1" ht="13" x14ac:dyDescent="0.15">
      <c r="B437" s="11"/>
      <c r="C437" s="12"/>
      <c r="D437" s="12"/>
      <c r="E437" s="12"/>
      <c r="F437" s="13"/>
      <c r="G437" s="11"/>
      <c r="H437" s="11"/>
      <c r="I437" s="15"/>
      <c r="J437" s="13"/>
      <c r="K437" s="24"/>
      <c r="L437" s="17"/>
      <c r="M437" s="18"/>
      <c r="N437" s="19"/>
      <c r="O437" s="19"/>
      <c r="P437" s="19"/>
      <c r="S437" s="19"/>
      <c r="U437" s="19"/>
    </row>
    <row r="438" spans="2:21" s="20" customFormat="1" ht="13" x14ac:dyDescent="0.15">
      <c r="B438" s="11"/>
      <c r="C438" s="12"/>
      <c r="D438" s="12"/>
      <c r="E438" s="12"/>
      <c r="F438" s="13"/>
      <c r="G438" s="11"/>
      <c r="H438" s="11"/>
      <c r="I438" s="15"/>
      <c r="J438" s="13"/>
      <c r="K438" s="24"/>
      <c r="L438" s="17"/>
      <c r="M438" s="18"/>
      <c r="N438" s="19"/>
      <c r="O438" s="19"/>
      <c r="P438" s="19"/>
      <c r="S438" s="19"/>
      <c r="U438" s="19"/>
    </row>
    <row r="439" spans="2:21" s="20" customFormat="1" ht="13" x14ac:dyDescent="0.15">
      <c r="B439" s="11"/>
      <c r="C439" s="12"/>
      <c r="D439" s="12"/>
      <c r="E439" s="12"/>
      <c r="F439" s="13"/>
      <c r="G439" s="11"/>
      <c r="H439" s="11"/>
      <c r="I439" s="15"/>
      <c r="J439" s="13"/>
      <c r="K439" s="24"/>
      <c r="L439" s="17"/>
      <c r="M439" s="18"/>
      <c r="N439" s="19"/>
      <c r="O439" s="19"/>
      <c r="P439" s="19"/>
      <c r="S439" s="19"/>
      <c r="U439" s="19"/>
    </row>
    <row r="440" spans="2:21" s="20" customFormat="1" ht="13" x14ac:dyDescent="0.15">
      <c r="B440" s="11"/>
      <c r="C440" s="12"/>
      <c r="D440" s="12"/>
      <c r="E440" s="12"/>
      <c r="F440" s="13"/>
      <c r="G440" s="11"/>
      <c r="H440" s="11"/>
      <c r="I440" s="15"/>
      <c r="J440" s="13"/>
      <c r="K440" s="24"/>
      <c r="L440" s="17"/>
      <c r="M440" s="18"/>
      <c r="N440" s="19"/>
      <c r="O440" s="19"/>
      <c r="P440" s="19"/>
      <c r="S440" s="19"/>
      <c r="U440" s="19"/>
    </row>
    <row r="441" spans="2:21" s="20" customFormat="1" ht="13" x14ac:dyDescent="0.15">
      <c r="B441" s="11"/>
      <c r="C441" s="12"/>
      <c r="D441" s="12"/>
      <c r="E441" s="12"/>
      <c r="F441" s="13"/>
      <c r="G441" s="11"/>
      <c r="H441" s="11"/>
      <c r="I441" s="15"/>
      <c r="J441" s="13"/>
      <c r="K441" s="24"/>
      <c r="L441" s="17"/>
      <c r="M441" s="18"/>
      <c r="N441" s="19"/>
      <c r="O441" s="19"/>
      <c r="P441" s="19"/>
      <c r="S441" s="19"/>
      <c r="U441" s="19"/>
    </row>
    <row r="442" spans="2:21" s="20" customFormat="1" ht="13" x14ac:dyDescent="0.15">
      <c r="B442" s="11"/>
      <c r="C442" s="12"/>
      <c r="D442" s="12"/>
      <c r="E442" s="12"/>
      <c r="F442" s="13"/>
      <c r="G442" s="11"/>
      <c r="H442" s="11"/>
      <c r="I442" s="15"/>
      <c r="J442" s="13"/>
      <c r="K442" s="24"/>
      <c r="L442" s="17"/>
      <c r="M442" s="18"/>
      <c r="N442" s="19"/>
      <c r="O442" s="19"/>
      <c r="P442" s="19"/>
      <c r="S442" s="19"/>
      <c r="U442" s="19"/>
    </row>
    <row r="443" spans="2:21" s="20" customFormat="1" ht="13" x14ac:dyDescent="0.15">
      <c r="B443" s="11"/>
      <c r="C443" s="12"/>
      <c r="D443" s="12"/>
      <c r="E443" s="12"/>
      <c r="F443" s="13"/>
      <c r="G443" s="11"/>
      <c r="H443" s="11"/>
      <c r="I443" s="15"/>
      <c r="J443" s="13"/>
      <c r="K443" s="24"/>
      <c r="L443" s="17"/>
      <c r="M443" s="18"/>
      <c r="N443" s="19"/>
      <c r="O443" s="19"/>
      <c r="P443" s="19"/>
      <c r="S443" s="19"/>
      <c r="U443" s="19"/>
    </row>
    <row r="444" spans="2:21" s="20" customFormat="1" ht="13" x14ac:dyDescent="0.15">
      <c r="B444" s="11"/>
      <c r="C444" s="12"/>
      <c r="D444" s="12"/>
      <c r="E444" s="12"/>
      <c r="F444" s="13"/>
      <c r="G444" s="11"/>
      <c r="H444" s="11"/>
      <c r="I444" s="15"/>
      <c r="J444" s="13"/>
      <c r="K444" s="24"/>
      <c r="L444" s="17"/>
      <c r="M444" s="18"/>
      <c r="N444" s="19"/>
      <c r="O444" s="19"/>
      <c r="P444" s="19"/>
      <c r="S444" s="19"/>
      <c r="U444" s="19"/>
    </row>
    <row r="445" spans="2:21" s="20" customFormat="1" ht="13" x14ac:dyDescent="0.15">
      <c r="B445" s="11"/>
      <c r="C445" s="12"/>
      <c r="D445" s="12"/>
      <c r="E445" s="12"/>
      <c r="F445" s="13"/>
      <c r="G445" s="11"/>
      <c r="H445" s="11"/>
      <c r="I445" s="15"/>
      <c r="J445" s="13"/>
      <c r="K445" s="24"/>
      <c r="L445" s="17"/>
      <c r="M445" s="18"/>
      <c r="N445" s="19"/>
      <c r="O445" s="19"/>
      <c r="P445" s="19"/>
      <c r="S445" s="19"/>
      <c r="U445" s="19"/>
    </row>
    <row r="446" spans="2:21" s="20" customFormat="1" ht="13" x14ac:dyDescent="0.15">
      <c r="B446" s="11"/>
      <c r="C446" s="12"/>
      <c r="D446" s="12"/>
      <c r="E446" s="12"/>
      <c r="F446" s="13"/>
      <c r="G446" s="11"/>
      <c r="H446" s="11"/>
      <c r="I446" s="15"/>
      <c r="J446" s="13"/>
      <c r="K446" s="24"/>
      <c r="L446" s="17"/>
      <c r="M446" s="18"/>
      <c r="N446" s="19"/>
      <c r="O446" s="19"/>
      <c r="P446" s="19"/>
      <c r="S446" s="19"/>
      <c r="U446" s="19"/>
    </row>
    <row r="447" spans="2:21" s="20" customFormat="1" ht="13" x14ac:dyDescent="0.15">
      <c r="B447" s="11"/>
      <c r="C447" s="12"/>
      <c r="D447" s="12"/>
      <c r="E447" s="12"/>
      <c r="F447" s="13"/>
      <c r="G447" s="11"/>
      <c r="H447" s="11"/>
      <c r="I447" s="15"/>
      <c r="J447" s="13"/>
      <c r="K447" s="24"/>
      <c r="L447" s="17"/>
      <c r="M447" s="18"/>
      <c r="N447" s="19"/>
      <c r="O447" s="19"/>
      <c r="P447" s="19"/>
      <c r="S447" s="19"/>
      <c r="U447" s="19"/>
    </row>
    <row r="448" spans="2:21" s="20" customFormat="1" ht="13" x14ac:dyDescent="0.15">
      <c r="B448" s="11"/>
      <c r="C448" s="12"/>
      <c r="D448" s="12"/>
      <c r="E448" s="12"/>
      <c r="F448" s="13"/>
      <c r="G448" s="11"/>
      <c r="H448" s="11"/>
      <c r="I448" s="15"/>
      <c r="J448" s="13"/>
      <c r="K448" s="24"/>
      <c r="L448" s="17"/>
      <c r="M448" s="18"/>
      <c r="N448" s="19"/>
      <c r="O448" s="19"/>
      <c r="P448" s="19"/>
      <c r="S448" s="19"/>
      <c r="U448" s="19"/>
    </row>
    <row r="449" spans="2:21" s="20" customFormat="1" ht="13" x14ac:dyDescent="0.15">
      <c r="B449" s="11"/>
      <c r="C449" s="12"/>
      <c r="D449" s="12"/>
      <c r="E449" s="12"/>
      <c r="F449" s="13"/>
      <c r="G449" s="11"/>
      <c r="H449" s="11"/>
      <c r="I449" s="15"/>
      <c r="J449" s="13"/>
      <c r="K449" s="24"/>
      <c r="L449" s="17"/>
      <c r="M449" s="18"/>
      <c r="N449" s="19"/>
      <c r="O449" s="19"/>
      <c r="P449" s="19"/>
      <c r="S449" s="19"/>
      <c r="U449" s="19"/>
    </row>
    <row r="450" spans="2:21" s="20" customFormat="1" ht="13" x14ac:dyDescent="0.15">
      <c r="B450" s="11"/>
      <c r="C450" s="12"/>
      <c r="D450" s="12"/>
      <c r="E450" s="12"/>
      <c r="F450" s="13"/>
      <c r="G450" s="11"/>
      <c r="H450" s="11"/>
      <c r="I450" s="15"/>
      <c r="J450" s="13"/>
      <c r="K450" s="24"/>
      <c r="L450" s="17"/>
      <c r="M450" s="18"/>
      <c r="N450" s="19"/>
      <c r="O450" s="19"/>
      <c r="P450" s="19"/>
      <c r="S450" s="19"/>
      <c r="U450" s="19"/>
    </row>
    <row r="451" spans="2:21" s="20" customFormat="1" ht="13" x14ac:dyDescent="0.15">
      <c r="B451" s="11"/>
      <c r="C451" s="12"/>
      <c r="D451" s="12"/>
      <c r="E451" s="12"/>
      <c r="F451" s="13"/>
      <c r="G451" s="11"/>
      <c r="H451" s="11"/>
      <c r="I451" s="15"/>
      <c r="J451" s="13"/>
      <c r="K451" s="24"/>
      <c r="L451" s="17"/>
      <c r="M451" s="18"/>
      <c r="N451" s="19"/>
      <c r="O451" s="19"/>
      <c r="P451" s="19"/>
      <c r="S451" s="19"/>
      <c r="U451" s="19"/>
    </row>
    <row r="452" spans="2:21" s="20" customFormat="1" ht="13" x14ac:dyDescent="0.15">
      <c r="B452" s="11"/>
      <c r="C452" s="12"/>
      <c r="D452" s="12"/>
      <c r="E452" s="12"/>
      <c r="F452" s="13"/>
      <c r="G452" s="11"/>
      <c r="H452" s="11"/>
      <c r="I452" s="15"/>
      <c r="J452" s="13"/>
      <c r="K452" s="24"/>
      <c r="L452" s="17"/>
      <c r="M452" s="18"/>
      <c r="N452" s="19"/>
      <c r="O452" s="19"/>
      <c r="P452" s="19"/>
      <c r="S452" s="19"/>
      <c r="U452" s="19"/>
    </row>
    <row r="453" spans="2:21" s="20" customFormat="1" ht="13" x14ac:dyDescent="0.15">
      <c r="B453" s="11"/>
      <c r="C453" s="12"/>
      <c r="D453" s="12"/>
      <c r="E453" s="12"/>
      <c r="F453" s="13"/>
      <c r="G453" s="11"/>
      <c r="H453" s="11"/>
      <c r="I453" s="15"/>
      <c r="J453" s="13"/>
      <c r="K453" s="24"/>
      <c r="L453" s="17"/>
      <c r="M453" s="18"/>
      <c r="N453" s="19"/>
      <c r="O453" s="19"/>
      <c r="P453" s="19"/>
      <c r="S453" s="19"/>
      <c r="U453" s="19"/>
    </row>
    <row r="454" spans="2:21" s="20" customFormat="1" ht="13" x14ac:dyDescent="0.15">
      <c r="B454" s="11"/>
      <c r="C454" s="12"/>
      <c r="D454" s="12"/>
      <c r="E454" s="12"/>
      <c r="F454" s="13"/>
      <c r="G454" s="11"/>
      <c r="H454" s="11"/>
      <c r="I454" s="15"/>
      <c r="J454" s="13"/>
      <c r="K454" s="24"/>
      <c r="L454" s="17"/>
      <c r="M454" s="18"/>
      <c r="N454" s="19"/>
      <c r="O454" s="19"/>
      <c r="P454" s="19"/>
      <c r="S454" s="19"/>
      <c r="U454" s="19"/>
    </row>
    <row r="455" spans="2:21" s="20" customFormat="1" ht="13" x14ac:dyDescent="0.15">
      <c r="B455" s="11"/>
      <c r="C455" s="12"/>
      <c r="D455" s="12"/>
      <c r="E455" s="12"/>
      <c r="F455" s="13"/>
      <c r="G455" s="11"/>
      <c r="H455" s="11"/>
      <c r="I455" s="15"/>
      <c r="J455" s="13"/>
      <c r="K455" s="24"/>
      <c r="L455" s="17"/>
      <c r="M455" s="18"/>
      <c r="N455" s="19"/>
      <c r="O455" s="19"/>
      <c r="P455" s="19"/>
      <c r="S455" s="19"/>
      <c r="U455" s="19"/>
    </row>
    <row r="456" spans="2:21" s="20" customFormat="1" ht="13" x14ac:dyDescent="0.15">
      <c r="B456" s="11"/>
      <c r="C456" s="12"/>
      <c r="D456" s="12"/>
      <c r="E456" s="12"/>
      <c r="F456" s="13"/>
      <c r="G456" s="11"/>
      <c r="H456" s="11"/>
      <c r="I456" s="15"/>
      <c r="J456" s="13"/>
      <c r="K456" s="24"/>
      <c r="L456" s="17"/>
      <c r="M456" s="18"/>
      <c r="N456" s="19"/>
      <c r="O456" s="19"/>
      <c r="P456" s="19"/>
      <c r="S456" s="19"/>
      <c r="U456" s="19"/>
    </row>
    <row r="457" spans="2:21" s="20" customFormat="1" ht="13" x14ac:dyDescent="0.15">
      <c r="B457" s="11"/>
      <c r="C457" s="12"/>
      <c r="D457" s="12"/>
      <c r="E457" s="12"/>
      <c r="F457" s="13"/>
      <c r="G457" s="11"/>
      <c r="H457" s="11"/>
      <c r="I457" s="15"/>
      <c r="J457" s="13"/>
      <c r="K457" s="24"/>
      <c r="L457" s="17"/>
      <c r="M457" s="18"/>
      <c r="N457" s="19"/>
      <c r="O457" s="19"/>
      <c r="P457" s="19"/>
      <c r="S457" s="19"/>
      <c r="U457" s="19"/>
    </row>
    <row r="458" spans="2:21" s="20" customFormat="1" ht="13" x14ac:dyDescent="0.15">
      <c r="B458" s="11"/>
      <c r="C458" s="12"/>
      <c r="D458" s="12"/>
      <c r="E458" s="12"/>
      <c r="F458" s="13"/>
      <c r="G458" s="11"/>
      <c r="H458" s="11"/>
      <c r="I458" s="15"/>
      <c r="J458" s="13"/>
      <c r="K458" s="24"/>
      <c r="L458" s="17"/>
      <c r="M458" s="18"/>
      <c r="N458" s="19"/>
      <c r="O458" s="19"/>
      <c r="P458" s="19"/>
      <c r="S458" s="19"/>
      <c r="U458" s="19"/>
    </row>
    <row r="459" spans="2:21" s="20" customFormat="1" ht="13" x14ac:dyDescent="0.15">
      <c r="B459" s="11"/>
      <c r="C459" s="12"/>
      <c r="D459" s="12"/>
      <c r="E459" s="12"/>
      <c r="F459" s="13"/>
      <c r="G459" s="11"/>
      <c r="H459" s="11"/>
      <c r="I459" s="15"/>
      <c r="J459" s="13"/>
      <c r="K459" s="24"/>
      <c r="L459" s="17"/>
      <c r="M459" s="18"/>
      <c r="N459" s="19"/>
      <c r="O459" s="19"/>
      <c r="P459" s="19"/>
      <c r="S459" s="19"/>
      <c r="U459" s="19"/>
    </row>
    <row r="460" spans="2:21" s="20" customFormat="1" ht="13" x14ac:dyDescent="0.15">
      <c r="B460" s="11"/>
      <c r="C460" s="12"/>
      <c r="D460" s="12"/>
      <c r="E460" s="12"/>
      <c r="F460" s="13"/>
      <c r="G460" s="11"/>
      <c r="H460" s="11"/>
      <c r="I460" s="15"/>
      <c r="J460" s="13"/>
      <c r="K460" s="24"/>
      <c r="L460" s="17"/>
      <c r="M460" s="18"/>
      <c r="N460" s="19"/>
      <c r="O460" s="19"/>
      <c r="P460" s="19"/>
      <c r="S460" s="19"/>
      <c r="U460" s="19"/>
    </row>
    <row r="461" spans="2:21" s="20" customFormat="1" ht="13" x14ac:dyDescent="0.15">
      <c r="B461" s="11"/>
      <c r="C461" s="12"/>
      <c r="D461" s="12"/>
      <c r="E461" s="12"/>
      <c r="F461" s="13"/>
      <c r="G461" s="11"/>
      <c r="H461" s="11"/>
      <c r="I461" s="15"/>
      <c r="J461" s="13"/>
      <c r="K461" s="24"/>
      <c r="L461" s="17"/>
      <c r="M461" s="18"/>
      <c r="N461" s="19"/>
      <c r="O461" s="19"/>
      <c r="P461" s="19"/>
      <c r="S461" s="19"/>
      <c r="U461" s="19"/>
    </row>
    <row r="462" spans="2:21" s="20" customFormat="1" ht="13" x14ac:dyDescent="0.15">
      <c r="B462" s="11"/>
      <c r="C462" s="12"/>
      <c r="D462" s="12"/>
      <c r="E462" s="12"/>
      <c r="F462" s="13"/>
      <c r="G462" s="11"/>
      <c r="H462" s="11"/>
      <c r="I462" s="15"/>
      <c r="J462" s="13"/>
      <c r="K462" s="24"/>
      <c r="L462" s="17"/>
      <c r="M462" s="18"/>
      <c r="N462" s="19"/>
      <c r="O462" s="19"/>
      <c r="P462" s="19"/>
      <c r="S462" s="19"/>
      <c r="U462" s="19"/>
    </row>
    <row r="463" spans="2:21" s="20" customFormat="1" ht="13" x14ac:dyDescent="0.15">
      <c r="B463" s="11"/>
      <c r="C463" s="12"/>
      <c r="D463" s="12"/>
      <c r="E463" s="12"/>
      <c r="F463" s="13"/>
      <c r="G463" s="11"/>
      <c r="H463" s="11"/>
      <c r="I463" s="15"/>
      <c r="J463" s="13"/>
      <c r="K463" s="24"/>
      <c r="L463" s="17"/>
      <c r="M463" s="18"/>
      <c r="N463" s="19"/>
      <c r="O463" s="19"/>
      <c r="P463" s="19"/>
      <c r="S463" s="19"/>
      <c r="U463" s="19"/>
    </row>
    <row r="464" spans="2:21" s="20" customFormat="1" ht="13" x14ac:dyDescent="0.15">
      <c r="B464" s="11"/>
      <c r="C464" s="12"/>
      <c r="D464" s="12"/>
      <c r="E464" s="12"/>
      <c r="F464" s="13"/>
      <c r="G464" s="11"/>
      <c r="H464" s="11"/>
      <c r="I464" s="15"/>
      <c r="J464" s="13"/>
      <c r="K464" s="24"/>
      <c r="L464" s="17"/>
      <c r="M464" s="18"/>
      <c r="N464" s="19"/>
      <c r="O464" s="19"/>
      <c r="P464" s="19"/>
      <c r="S464" s="19"/>
      <c r="U464" s="19"/>
    </row>
    <row r="465" spans="2:21" s="20" customFormat="1" ht="13" x14ac:dyDescent="0.15">
      <c r="B465" s="11"/>
      <c r="C465" s="12"/>
      <c r="D465" s="12"/>
      <c r="E465" s="12"/>
      <c r="F465" s="13"/>
      <c r="G465" s="11"/>
      <c r="H465" s="11"/>
      <c r="I465" s="15"/>
      <c r="J465" s="13"/>
      <c r="K465" s="24"/>
      <c r="L465" s="17"/>
      <c r="M465" s="18"/>
      <c r="N465" s="19"/>
      <c r="O465" s="19"/>
      <c r="P465" s="19"/>
      <c r="S465" s="19"/>
      <c r="U465" s="19"/>
    </row>
    <row r="466" spans="2:21" s="20" customFormat="1" ht="13" x14ac:dyDescent="0.15">
      <c r="B466" s="11"/>
      <c r="C466" s="12"/>
      <c r="D466" s="12"/>
      <c r="E466" s="12"/>
      <c r="F466" s="13"/>
      <c r="G466" s="11"/>
      <c r="H466" s="11"/>
      <c r="I466" s="15"/>
      <c r="J466" s="13"/>
      <c r="K466" s="24"/>
      <c r="L466" s="17"/>
      <c r="M466" s="18"/>
      <c r="N466" s="19"/>
      <c r="O466" s="19"/>
      <c r="P466" s="19"/>
      <c r="S466" s="19"/>
      <c r="U466" s="19"/>
    </row>
    <row r="467" spans="2:21" s="20" customFormat="1" ht="13" x14ac:dyDescent="0.15">
      <c r="B467" s="11"/>
      <c r="C467" s="12"/>
      <c r="D467" s="12"/>
      <c r="E467" s="12"/>
      <c r="F467" s="13"/>
      <c r="G467" s="11"/>
      <c r="H467" s="11"/>
      <c r="I467" s="15"/>
      <c r="J467" s="13"/>
      <c r="K467" s="24"/>
      <c r="L467" s="17"/>
      <c r="M467" s="18"/>
      <c r="N467" s="19"/>
      <c r="O467" s="19"/>
      <c r="P467" s="19"/>
      <c r="S467" s="19"/>
      <c r="U467" s="19"/>
    </row>
    <row r="468" spans="2:21" s="20" customFormat="1" ht="13" x14ac:dyDescent="0.15">
      <c r="B468" s="11"/>
      <c r="C468" s="12"/>
      <c r="D468" s="12"/>
      <c r="E468" s="12"/>
      <c r="F468" s="13"/>
      <c r="G468" s="11"/>
      <c r="H468" s="11"/>
      <c r="I468" s="15"/>
      <c r="J468" s="13"/>
      <c r="K468" s="24"/>
      <c r="L468" s="17"/>
      <c r="M468" s="18"/>
      <c r="N468" s="19"/>
      <c r="O468" s="19"/>
      <c r="P468" s="19"/>
      <c r="S468" s="19"/>
      <c r="U468" s="19"/>
    </row>
    <row r="469" spans="2:21" s="20" customFormat="1" ht="13" x14ac:dyDescent="0.15">
      <c r="B469" s="11"/>
      <c r="C469" s="12"/>
      <c r="D469" s="12"/>
      <c r="E469" s="12"/>
      <c r="F469" s="13"/>
      <c r="G469" s="11"/>
      <c r="H469" s="11"/>
      <c r="I469" s="15"/>
      <c r="J469" s="13"/>
      <c r="K469" s="24"/>
      <c r="L469" s="17"/>
      <c r="M469" s="18"/>
      <c r="N469" s="19"/>
      <c r="O469" s="19"/>
      <c r="P469" s="19"/>
      <c r="S469" s="19"/>
      <c r="U469" s="19"/>
    </row>
    <row r="470" spans="2:21" s="20" customFormat="1" ht="13" x14ac:dyDescent="0.15">
      <c r="B470" s="11"/>
      <c r="C470" s="12"/>
      <c r="D470" s="12"/>
      <c r="E470" s="12"/>
      <c r="F470" s="13"/>
      <c r="G470" s="11"/>
      <c r="H470" s="11"/>
      <c r="I470" s="15"/>
      <c r="J470" s="13"/>
      <c r="K470" s="24"/>
      <c r="L470" s="17"/>
      <c r="M470" s="18"/>
      <c r="N470" s="19"/>
      <c r="O470" s="19"/>
      <c r="P470" s="19"/>
      <c r="S470" s="19"/>
      <c r="U470" s="19"/>
    </row>
    <row r="471" spans="2:21" s="20" customFormat="1" ht="13" x14ac:dyDescent="0.15">
      <c r="B471" s="11"/>
      <c r="C471" s="12"/>
      <c r="D471" s="12"/>
      <c r="E471" s="12"/>
      <c r="F471" s="13"/>
      <c r="G471" s="11"/>
      <c r="H471" s="11"/>
      <c r="I471" s="15"/>
      <c r="J471" s="13"/>
      <c r="K471" s="24"/>
      <c r="L471" s="17"/>
      <c r="M471" s="18"/>
      <c r="N471" s="19"/>
      <c r="O471" s="19"/>
      <c r="P471" s="19"/>
      <c r="S471" s="19"/>
      <c r="U471" s="19"/>
    </row>
    <row r="472" spans="2:21" s="20" customFormat="1" ht="13" x14ac:dyDescent="0.15">
      <c r="B472" s="11"/>
      <c r="C472" s="12"/>
      <c r="D472" s="12"/>
      <c r="E472" s="12"/>
      <c r="F472" s="13"/>
      <c r="G472" s="11"/>
      <c r="H472" s="11"/>
      <c r="I472" s="15"/>
      <c r="J472" s="13"/>
      <c r="K472" s="24"/>
      <c r="L472" s="17"/>
      <c r="M472" s="18"/>
      <c r="N472" s="19"/>
      <c r="O472" s="19"/>
      <c r="P472" s="19"/>
      <c r="S472" s="19"/>
      <c r="U472" s="19"/>
    </row>
    <row r="473" spans="2:21" s="20" customFormat="1" ht="13" x14ac:dyDescent="0.15">
      <c r="B473" s="11"/>
      <c r="C473" s="12"/>
      <c r="D473" s="12"/>
      <c r="E473" s="12"/>
      <c r="F473" s="13"/>
      <c r="G473" s="11"/>
      <c r="H473" s="11"/>
      <c r="I473" s="15"/>
      <c r="J473" s="13"/>
      <c r="K473" s="24"/>
      <c r="L473" s="17"/>
      <c r="M473" s="18"/>
      <c r="N473" s="19"/>
      <c r="O473" s="19"/>
      <c r="P473" s="19"/>
      <c r="S473" s="19"/>
      <c r="U473" s="19"/>
    </row>
    <row r="474" spans="2:21" s="20" customFormat="1" ht="13" x14ac:dyDescent="0.15">
      <c r="B474" s="11"/>
      <c r="C474" s="12"/>
      <c r="D474" s="12"/>
      <c r="E474" s="12"/>
      <c r="F474" s="13"/>
      <c r="G474" s="11"/>
      <c r="H474" s="11"/>
      <c r="I474" s="15"/>
      <c r="J474" s="13"/>
      <c r="K474" s="24"/>
      <c r="L474" s="17"/>
      <c r="M474" s="18"/>
      <c r="N474" s="19"/>
      <c r="O474" s="19"/>
      <c r="P474" s="19"/>
      <c r="S474" s="19"/>
      <c r="U474" s="19"/>
    </row>
  </sheetData>
  <hyperlinks>
    <hyperlink ref="G45" r:id="rId1" xr:uid="{674D0FAA-79E9-1D4F-B7D7-C1631FCAD681}"/>
    <hyperlink ref="G52" r:id="rId2" xr:uid="{978D95AE-04FD-A044-B047-47E9FC9FC11F}"/>
    <hyperlink ref="G81" r:id="rId3" xr:uid="{5EFB9598-A2B5-E340-8CF5-290BA6420F7D}"/>
    <hyperlink ref="G34" r:id="rId4" xr:uid="{F94E5AF2-183D-3B48-84A3-1B9D471C3A35}"/>
    <hyperlink ref="G25" r:id="rId5" xr:uid="{2930F7BC-9F5A-A441-831F-3C0E3C2CE20E}"/>
    <hyperlink ref="G20" r:id="rId6" xr:uid="{38895DA3-65A5-E941-A4B1-DC67A1AD1203}"/>
    <hyperlink ref="G9" r:id="rId7" xr:uid="{D9BABE9E-4242-9B4A-825F-511E87E74996}"/>
    <hyperlink ref="G253" r:id="rId8" xr:uid="{E7B95EA3-F763-904C-99CB-84C9C481FCB4}"/>
    <hyperlink ref="G243" r:id="rId9" xr:uid="{C3E0D58B-9F5C-474B-B06F-C9B13B5F729A}"/>
    <hyperlink ref="G236" r:id="rId10" xr:uid="{95CDF1ED-FC81-304D-A58A-05A1D7AC46BC}"/>
    <hyperlink ref="G195" r:id="rId11" xr:uid="{FAA8F296-C597-8A47-B8C3-E270D20C92C5}"/>
    <hyperlink ref="G137" r:id="rId12" xr:uid="{10D60236-1DB2-8848-B9A7-B6F66F2ECE9E}"/>
    <hyperlink ref="G166" r:id="rId13" xr:uid="{68972D4B-5E69-0E4B-9EF9-70C8FE01E720}"/>
    <hyperlink ref="G54" r:id="rId14" xr:uid="{79B14657-0D72-A448-8387-8CB6C5F9C6C9}"/>
    <hyperlink ref="G102" r:id="rId15" xr:uid="{682912D6-5582-8B46-A2E6-B811A394A612}"/>
    <hyperlink ref="G122" r:id="rId16" xr:uid="{7E8CF5AD-94F8-7B47-A461-BEBB7BC95B99}"/>
    <hyperlink ref="G217" r:id="rId17" xr:uid="{52562978-60D1-DE49-BF43-D3D3BDCB2442}"/>
    <hyperlink ref="G143" r:id="rId18" xr:uid="{A85D85C3-F92C-8F48-AE12-DE45C6B17FD5}"/>
    <hyperlink ref="G142" r:id="rId19" xr:uid="{2DE9AE78-0385-1D40-A642-224C37171A4E}"/>
    <hyperlink ref="G145" r:id="rId20" xr:uid="{8736437F-1E56-154F-8B8D-DB355AF6CDD8}"/>
    <hyperlink ref="G151" r:id="rId21" xr:uid="{D2C1C841-DCD6-4746-96DF-F4831C4584EE}"/>
    <hyperlink ref="G155" r:id="rId22" xr:uid="{B62129FB-70D4-7448-ADA3-7AF160B873E7}"/>
    <hyperlink ref="G38" r:id="rId23" xr:uid="{645EDEBC-16F6-B942-9468-BA840BB4CA15}"/>
    <hyperlink ref="G204" r:id="rId24" xr:uid="{06225E17-9936-1B4F-A3AE-690731E9F4BA}"/>
    <hyperlink ref="G254" r:id="rId25" xr:uid="{13243524-B5DB-DB4B-9136-6EC67784EE5D}"/>
    <hyperlink ref="G216" r:id="rId26" xr:uid="{962ED567-9DD1-E847-B5DE-481487BF69ED}"/>
    <hyperlink ref="G247" r:id="rId27" xr:uid="{B146F602-360C-6444-94C6-2B4ECDBA3E94}"/>
    <hyperlink ref="G18" r:id="rId28" xr:uid="{5D346ECA-EFEF-7C4B-8D05-EB1AD3F17144}"/>
    <hyperlink ref="G2" r:id="rId29" xr:uid="{D29D8877-2ADC-8040-A420-98A0F852E95C}"/>
    <hyperlink ref="G16" r:id="rId30" xr:uid="{7223E89B-709E-4143-983E-6EA34800538A}"/>
    <hyperlink ref="G27" r:id="rId31" xr:uid="{7FE7E9EB-DB79-814F-8962-6221C0D4D21C}"/>
    <hyperlink ref="G44" r:id="rId32" xr:uid="{B2B0E74D-60B2-2646-B1A7-C54679D0CB34}"/>
    <hyperlink ref="G117" r:id="rId33" xr:uid="{8164C3C6-D6C4-184E-AC73-95D4886FC3D7}"/>
    <hyperlink ref="G77" r:id="rId34" xr:uid="{5AAFD086-DD1B-8F4E-8425-538C2001CC6C}"/>
    <hyperlink ref="G78" r:id="rId35" xr:uid="{00CA926E-8F02-3448-90A3-9F59117E1883}"/>
    <hyperlink ref="G101" r:id="rId36" xr:uid="{A08649D0-7234-344B-AF16-7891C0B40C28}"/>
    <hyperlink ref="G225" r:id="rId37" xr:uid="{E6B6ABF1-D3C6-B246-B54F-D6856A81909B}"/>
    <hyperlink ref="G154" r:id="rId38" xr:uid="{8DD2EAEB-1F3F-F945-B070-68BCEAAB55E1}"/>
    <hyperlink ref="G244" r:id="rId39" xr:uid="{BDB8C4FA-C7B8-2448-9542-C893231348E5}"/>
    <hyperlink ref="G162" r:id="rId40" xr:uid="{D6BC5467-5178-EF44-9E41-4B53EF98B1FB}"/>
    <hyperlink ref="G181" r:id="rId41" xr:uid="{1DB01DDF-9627-914A-A66D-0AEA511F7952}"/>
    <hyperlink ref="G189" r:id="rId42" xr:uid="{FBC3A4D4-379E-014D-95B9-7BB8AF247028}"/>
    <hyperlink ref="G207" r:id="rId43" xr:uid="{8AA02193-DA84-0E46-8824-F53BAB44DE66}"/>
    <hyperlink ref="G203" r:id="rId44" xr:uid="{03AC3CF9-95AD-944D-839E-F09F7E99C603}"/>
    <hyperlink ref="G206" r:id="rId45" xr:uid="{0A801E12-9758-8D48-AD71-625A8EAA6D41}"/>
    <hyperlink ref="G241" r:id="rId46" xr:uid="{87C2432B-7773-4A4F-9DD0-92FF74949AFD}"/>
    <hyperlink ref="G246" r:id="rId47" xr:uid="{B8E84F8A-BB09-8547-A341-CD8F0E44F4AE}"/>
    <hyperlink ref="G257" r:id="rId48" xr:uid="{369B9B2D-D342-D54F-89F2-01EB888FA3BA}"/>
    <hyperlink ref="G41" r:id="rId49" xr:uid="{D107934A-4EEB-B049-9B52-C6E38D467585}"/>
    <hyperlink ref="G49" r:id="rId50" xr:uid="{F7A81069-6539-B64C-AC6F-2AC976259762}"/>
    <hyperlink ref="G51" r:id="rId51" xr:uid="{210508ED-B860-BA4E-8416-4653DC025725}"/>
    <hyperlink ref="G82" r:id="rId52" xr:uid="{AE0BAAAE-4361-7D48-89CB-1E1753A51B73}"/>
    <hyperlink ref="G84" r:id="rId53" xr:uid="{5DFE8823-0A1B-A74B-A07E-174B78DADAEF}"/>
    <hyperlink ref="G98" r:id="rId54" xr:uid="{CC09A982-3F82-CD48-BFC8-E02E6426A533}"/>
    <hyperlink ref="G131" r:id="rId55" xr:uid="{BE278BC7-3B08-A347-8D5C-5287AC1C1CBD}"/>
    <hyperlink ref="G123" r:id="rId56" xr:uid="{1EF94803-1EA2-C14A-8A1E-EDBCA1E10F87}"/>
    <hyperlink ref="G133" r:id="rId57" xr:uid="{A5382314-0658-3C45-82FB-515FAEEE0DB7}"/>
    <hyperlink ref="G176" r:id="rId58" xr:uid="{EF303E0C-3F7D-F94A-8266-12DBE0B037C5}"/>
    <hyperlink ref="G239" r:id="rId59" xr:uid="{D679D9FE-18E8-7044-88CC-4B1396588BB7}"/>
    <hyperlink ref="G190" r:id="rId60" xr:uid="{5041F7DB-8A45-8540-917B-45345986968F}"/>
    <hyperlink ref="G214" r:id="rId61" xr:uid="{D2F23014-0428-4946-ADF6-5EB774D4865D}"/>
    <hyperlink ref="G218" r:id="rId62" xr:uid="{9314EC88-B983-C54E-A297-2E0F0B1DFCE3}"/>
    <hyperlink ref="G228" r:id="rId63" xr:uid="{93BE88E1-F7E7-0A43-83C5-F5F2364ACA89}"/>
    <hyperlink ref="G233" r:id="rId64" xr:uid="{4DA1638A-FDF6-3B40-80C9-04C307EAC5C0}"/>
    <hyperlink ref="G240" r:id="rId65" xr:uid="{0CB8C517-A450-2D4D-A56C-390CF806035B}"/>
    <hyperlink ref="G245" r:id="rId66" xr:uid="{3442E5A7-791E-2C45-93B8-777691DA9A2F}"/>
    <hyperlink ref="G121" r:id="rId67" xr:uid="{6D6C80F1-2EA8-3544-BD1F-980EE0F3FEE4}"/>
    <hyperlink ref="G15" r:id="rId68" xr:uid="{F948268D-6454-B441-B066-29EEC872582E}"/>
    <hyperlink ref="G165" r:id="rId69" xr:uid="{D9C907EB-06FB-CF47-AC9A-203E33326ACE}"/>
    <hyperlink ref="G61" r:id="rId70" xr:uid="{12B68A7A-B8FC-5842-B06E-FC4C2EAAEBE4}"/>
    <hyperlink ref="G256" r:id="rId71" xr:uid="{54A5ACDE-874D-FA46-99DD-59062A1C683E}"/>
    <hyperlink ref="G108" r:id="rId72" xr:uid="{12EACB1D-D2B3-B74C-B67D-BD891938DB03}"/>
    <hyperlink ref="G115" r:id="rId73" xr:uid="{384D13D2-4818-914B-80A3-E0FA99C1169F}"/>
    <hyperlink ref="G48" r:id="rId74" xr:uid="{553E7FA3-B783-9948-BABA-3186C51BF784}"/>
    <hyperlink ref="G167" r:id="rId75" xr:uid="{D4408BB7-60C9-0F4E-89C6-ABFA7D6D07DE}"/>
    <hyperlink ref="G178" r:id="rId76" xr:uid="{458EE8B5-9B65-F047-BC57-BE56B9D634B6}"/>
    <hyperlink ref="G175" r:id="rId77" xr:uid="{0D96B529-C835-9E46-86B0-D93067CD5E27}"/>
    <hyperlink ref="G180" r:id="rId78" xr:uid="{2A57661F-D3A5-E84E-B306-A5F3C35BD827}"/>
    <hyperlink ref="G185" r:id="rId79" xr:uid="{214F5775-BCD1-FC48-9200-217BA59B2EF0}"/>
    <hyperlink ref="G201" r:id="rId80" xr:uid="{642FA8D9-4B7F-E44B-B872-F9286A6EC00F}"/>
    <hyperlink ref="G210" r:id="rId81" xr:uid="{DA1F4FD0-5AAE-E24F-9A75-5A02C82E52C5}"/>
    <hyperlink ref="G215" r:id="rId82" xr:uid="{CF5C65AC-4815-4940-8CFE-97BA0C56919F}"/>
    <hyperlink ref="G237" r:id="rId83" xr:uid="{53D188E1-6883-D54C-BFFC-77695B0895A2}"/>
    <hyperlink ref="G249" r:id="rId84" xr:uid="{600B3452-B58C-1C45-9226-45F745210C74}"/>
    <hyperlink ref="G132" r:id="rId85" xr:uid="{7F2ED5B0-6262-2047-9392-059E42E26C01}"/>
    <hyperlink ref="G3" r:id="rId86" xr:uid="{61DB5362-FAE7-C74D-B3C8-D4580E14D56B}"/>
    <hyperlink ref="G28" r:id="rId87" xr:uid="{B6372066-CE80-A849-B568-0215F7105334}"/>
    <hyperlink ref="G30" r:id="rId88" xr:uid="{F68A6541-8716-D348-8EF5-50EA6FA8C088}"/>
    <hyperlink ref="G53" r:id="rId89" xr:uid="{8B079CE3-E755-4847-9510-86B8322CF021}"/>
    <hyperlink ref="G106" r:id="rId90" xr:uid="{2ABB7F2A-FDE9-644B-8BA4-EE4447BFD9CE}"/>
    <hyperlink ref="G79" r:id="rId91" xr:uid="{4F38F41C-DB70-894C-AB5D-FD1FFBC2D1D7}"/>
    <hyperlink ref="G135" r:id="rId92" xr:uid="{A77E3A3F-F2D1-1349-9A62-F12CBAA6E9A9}"/>
    <hyperlink ref="G172" r:id="rId93" xr:uid="{B61396D1-45B8-8740-8FA5-F0D6019EB960}"/>
    <hyperlink ref="G183" r:id="rId94" xr:uid="{BB6B90AC-4B40-4644-AE8F-C526DB023BE2}"/>
    <hyperlink ref="G211" r:id="rId95" xr:uid="{281563C1-3ED8-F34D-8979-E4602B887F95}"/>
    <hyperlink ref="G212" r:id="rId96" xr:uid="{4C3869F5-06F8-C34B-BC54-E712B77D0FCF}"/>
    <hyperlink ref="G248" r:id="rId97" xr:uid="{A83EE10A-BC17-6144-A586-75EFC55960A8}"/>
    <hyperlink ref="G252" r:id="rId98" xr:uid="{F56CCDC3-8F44-1844-8F50-50B38E0409CC}"/>
    <hyperlink ref="G255" r:id="rId99" xr:uid="{A9DFB961-C65A-2B40-AF93-4B4CF34DA092}"/>
    <hyperlink ref="G65" r:id="rId100" xr:uid="{FCF6FA8F-F3B3-5B42-964A-BE022B66464C}"/>
    <hyperlink ref="G22" r:id="rId101" xr:uid="{7C85A7EC-4D44-0F4E-A81C-6C0340E74669}"/>
    <hyperlink ref="G14" r:id="rId102" xr:uid="{05884798-B951-DC47-ABDA-23B16013059A}"/>
    <hyperlink ref="G19" r:id="rId103" xr:uid="{93E4DE49-6298-6547-B3EE-D61CA9CAF8B9}"/>
    <hyperlink ref="G29" r:id="rId104" xr:uid="{FBFA4B6E-6E12-4C41-9C79-E56DAD94FD8D}"/>
    <hyperlink ref="G39" r:id="rId105" xr:uid="{476E16B1-9ECA-CF46-8215-2E6C75800DB2}"/>
    <hyperlink ref="G46" r:id="rId106" xr:uid="{E6FA9AEF-33D0-794B-B55A-661E99687DE1}"/>
    <hyperlink ref="G73" r:id="rId107" xr:uid="{67ACF898-B7B5-1A49-95B6-B6B6BFCC0378}"/>
    <hyperlink ref="G62" r:id="rId108" xr:uid="{48BDEC7D-6330-9243-9A42-9159AD70709B}"/>
    <hyperlink ref="G63" r:id="rId109" xr:uid="{0B4D7E6D-0C39-D646-B088-6D02BF7C0544}"/>
    <hyperlink ref="G85" r:id="rId110" xr:uid="{45811834-F8CD-254C-8214-5370F3F8CFD9}"/>
    <hyperlink ref="G259" r:id="rId111" xr:uid="{775A05E9-3C96-6F41-B844-B327A5230D0F}"/>
    <hyperlink ref="G99" r:id="rId112" xr:uid="{0B3AC2D7-BBD0-ED4F-B63F-F7606F212359}"/>
    <hyperlink ref="G110" r:id="rId113" xr:uid="{0DA42033-2DA8-F343-834B-49D7DF17F9C2}"/>
    <hyperlink ref="G109" r:id="rId114" xr:uid="{FA842CDA-6C04-5549-9EE2-B1464BE095FB}"/>
    <hyperlink ref="G124" r:id="rId115" xr:uid="{662EC560-17F0-494D-BE14-6CB1E70F3127}"/>
    <hyperlink ref="G50" r:id="rId116" xr:uid="{47EE5F6B-6AF9-0445-8CE4-60726F0ACDA1}"/>
    <hyperlink ref="G139" r:id="rId117" xr:uid="{8805F4F9-13E3-5742-BD00-1C4C93F7425A}"/>
    <hyperlink ref="G153" r:id="rId118" xr:uid="{68E6C6B2-5BCF-4248-98B2-A08B55C6EF13}"/>
    <hyperlink ref="G158" r:id="rId119" xr:uid="{2B8AD49E-648C-BB4A-B04B-FAAE3FE2D760}"/>
    <hyperlink ref="G163" r:id="rId120" xr:uid="{AC606F11-54C1-0845-AC01-06E30FC23BCE}"/>
    <hyperlink ref="G170" r:id="rId121" xr:uid="{D98E8E97-341A-8948-931B-04C40AC8409F}"/>
    <hyperlink ref="G173" r:id="rId122" xr:uid="{84D0159E-0514-A645-AF49-EB3341FD768A}"/>
    <hyperlink ref="G179" r:id="rId123" xr:uid="{1F0CE513-1680-4648-9C8D-B983CC1F1802}"/>
    <hyperlink ref="G198" r:id="rId124" xr:uid="{E8F6AB95-CF41-714D-B9B9-7AAC785569A4}"/>
    <hyperlink ref="G68" r:id="rId125" xr:uid="{FBE87867-6934-F84D-9B29-9930CE9A4ADF}"/>
    <hyperlink ref="G70" r:id="rId126" xr:uid="{4D055FF4-3188-094C-B341-F022CCE16A50}"/>
    <hyperlink ref="G89" r:id="rId127" xr:uid="{119C1E93-A979-EF4C-A193-8DB3A870DFFD}"/>
    <hyperlink ref="G92" r:id="rId128" xr:uid="{56C6468E-4ACD-BF4E-87CC-1CBA7C2E52A1}"/>
    <hyperlink ref="G97" r:id="rId129" xr:uid="{E2FDB8AF-5D69-CE46-8491-602DF07C3E18}"/>
    <hyperlink ref="G113" r:id="rId130" xr:uid="{A5AE29E4-BC5F-4945-9D59-0C1058855682}"/>
    <hyperlink ref="G105" r:id="rId131" xr:uid="{E847324F-AFE7-204D-AF27-C9AC023E3418}"/>
    <hyperlink ref="G118" r:id="rId132" xr:uid="{48BDE705-BED6-834F-BF3A-27CAC87CA2F1}"/>
    <hyperlink ref="G127" r:id="rId133" xr:uid="{0BED7729-F330-0641-841E-54E0E311DE99}"/>
    <hyperlink ref="G134" r:id="rId134" xr:uid="{52BA639D-80A2-6F4E-9EC1-999BBBDE9BFA}"/>
    <hyperlink ref="G120" r:id="rId135" xr:uid="{5BD8CB47-323C-AE46-BD19-A0362C9C3554}"/>
    <hyperlink ref="G136" r:id="rId136" xr:uid="{E9A58428-CBD1-6F4C-8C72-262920F7E6FC}"/>
    <hyperlink ref="G152" r:id="rId137" xr:uid="{6C10A215-70B3-8E44-90F0-F7F1AC44F6D1}"/>
    <hyperlink ref="G148" r:id="rId138" xr:uid="{33E53AF2-D4AF-7A44-8857-9CF5A442AEA7}"/>
    <hyperlink ref="G23" r:id="rId139" xr:uid="{593ACE29-6D91-8242-9A6C-A5CC9F5CFE0E}"/>
    <hyperlink ref="G213" r:id="rId140" xr:uid="{B6A6AF72-55DD-E040-A153-ADFBD4B213CA}"/>
    <hyperlink ref="G192" r:id="rId141" xr:uid="{BE63EA5D-50B7-7643-86EB-FA189B72AC2C}"/>
    <hyperlink ref="G200" r:id="rId142" xr:uid="{980006A3-4BB6-B646-A42F-F2E148FCFF2F}"/>
    <hyperlink ref="G141" r:id="rId143" xr:uid="{C844EE8B-A223-5946-94A5-377BDBC7821F}"/>
    <hyperlink ref="G250" r:id="rId144" xr:uid="{B3DBB152-35FC-7549-AE3D-AAC7EE3DB4F4}"/>
    <hyperlink ref="G258" r:id="rId145" xr:uid="{52FD41D3-EBDF-AE4B-A645-8F0231BD3EDC}"/>
    <hyperlink ref="G6" r:id="rId146" xr:uid="{809C3EF7-8768-7E48-BE62-F58DA1CECF26}"/>
    <hyperlink ref="G13" r:id="rId147" xr:uid="{03B9A017-6303-9C47-8A3C-3255C197A2F4}"/>
    <hyperlink ref="G32" r:id="rId148" xr:uid="{C0778585-2D29-0444-AC70-C563E9C15A71}"/>
    <hyperlink ref="G33" r:id="rId149" xr:uid="{4952E2DB-9D88-1447-BD57-586028FF6B99}"/>
    <hyperlink ref="G37" r:id="rId150" xr:uid="{7305E900-220F-DB46-965F-0B9D763F462F}"/>
    <hyperlink ref="G36" r:id="rId151" xr:uid="{9D093FF2-66BC-A64B-88AD-90BFB5AD11DE}"/>
    <hyperlink ref="G35" r:id="rId152" xr:uid="{5F167BAA-6DDB-2D49-A157-6D3DAFE53CFF}"/>
    <hyperlink ref="G42" r:id="rId153" xr:uid="{F62C54D1-AED4-FD48-B60B-8FB9D83C380F}"/>
    <hyperlink ref="G40" r:id="rId154" xr:uid="{E1FC93D0-A8D8-5441-A493-15A3CF6F6282}"/>
    <hyperlink ref="G59" r:id="rId155" xr:uid="{8C8FE108-69F0-D145-9586-8EE2222FBBD8}"/>
    <hyperlink ref="G67" r:id="rId156" xr:uid="{C103817E-5534-BF43-B0C8-7DE1D4DF2959}"/>
    <hyperlink ref="G66" r:id="rId157" xr:uid="{0A13A76E-49BA-BC41-AD0C-F3F1CDD77722}"/>
    <hyperlink ref="G69" r:id="rId158" xr:uid="{D8212374-AE7B-564A-B1B8-6E2843BB0FE8}"/>
    <hyperlink ref="G71" r:id="rId159" xr:uid="{454D5677-3D50-6C4B-ADB9-CDF5A13D60EC}"/>
    <hyperlink ref="G75" r:id="rId160" xr:uid="{2890EF83-68D4-5746-A9C0-0C21AD4E2084}"/>
    <hyperlink ref="G76" r:id="rId161" xr:uid="{D4973B1E-7B28-1D4E-B3AA-BD57FC7E94DF}"/>
    <hyperlink ref="G88" r:id="rId162" xr:uid="{4BD48F27-C378-9641-A224-C50B383726A5}"/>
    <hyperlink ref="G64" r:id="rId163" xr:uid="{4CF6B827-3983-734C-9060-774BC541A85C}"/>
    <hyperlink ref="G93" r:id="rId164" xr:uid="{DE7BF6B7-9FE8-AA4B-A99F-325BF1EE417C}"/>
    <hyperlink ref="G95" r:id="rId165" xr:uid="{DF842424-44B5-4848-8237-F60FFDFDFAFF}"/>
    <hyperlink ref="G140" r:id="rId166" xr:uid="{342EABE2-978A-1241-8902-ACEB2738F079}"/>
    <hyperlink ref="G96" r:id="rId167" xr:uid="{77150ACF-B302-304F-980B-10D97A0183EA}"/>
    <hyperlink ref="G104" r:id="rId168" xr:uid="{06103349-04CC-5347-AA07-513B8416E6FF}"/>
    <hyperlink ref="G114" r:id="rId169" xr:uid="{BF6F4F3C-6901-B443-AE80-24DC98EC7549}"/>
    <hyperlink ref="G119" r:id="rId170" xr:uid="{0CAC1785-4593-CD40-B2A4-4C6A662FF153}"/>
    <hyperlink ref="G130" r:id="rId171" xr:uid="{9D60295B-B240-494D-9316-FF7140B352F7}"/>
    <hyperlink ref="G147" r:id="rId172" xr:uid="{5B6C1E8D-FDB6-684A-AFA2-A8D2B2FF6BCD}"/>
    <hyperlink ref="G156" r:id="rId173" xr:uid="{F13D5544-EF8C-CE46-838F-DCDD3C8FF89E}"/>
    <hyperlink ref="G157" r:id="rId174" xr:uid="{E0D03119-BF78-0440-AEED-EC22C1EC362B}"/>
    <hyperlink ref="G164" r:id="rId175" xr:uid="{D07FDB51-96EC-D14F-9AE3-AC8F0BF906B2}"/>
    <hyperlink ref="G184" r:id="rId176" xr:uid="{A77BF245-AD35-5840-B21C-B9923F5BBD5F}"/>
    <hyperlink ref="G193" r:id="rId177" xr:uid="{88B26247-3E54-2045-8DE3-9BE4FEAD425C}"/>
    <hyperlink ref="G199" r:id="rId178" xr:uid="{856F925C-3690-6144-A551-C8844B10BD44}"/>
    <hyperlink ref="G205" r:id="rId179" xr:uid="{2147F6F0-B748-6047-9D34-A46851218AA4}"/>
    <hyperlink ref="G221" r:id="rId180" xr:uid="{100BED61-010E-B047-8806-94D0A180E15C}"/>
    <hyperlink ref="G60" r:id="rId181" xr:uid="{E2211464-961F-5C40-BD2E-D248983C362A}"/>
    <hyperlink ref="G230" r:id="rId182" xr:uid="{EEF6FDF1-212E-314C-96A3-B6BFD48F93B1}"/>
    <hyperlink ref="G242" r:id="rId183" xr:uid="{C863D4CD-12FC-3543-8D40-56118C88EDB7}"/>
    <hyperlink ref="G251" r:id="rId184" xr:uid="{F1559E36-505E-7D4E-9242-EB3EF5FB7A0B}"/>
    <hyperlink ref="G5" r:id="rId185" xr:uid="{62F5F333-8A76-104D-BDCF-30A16AD0AAE3}"/>
    <hyperlink ref="G4" r:id="rId186" xr:uid="{477EC40E-212D-4844-89BD-857BCD212FC2}"/>
    <hyperlink ref="G7" r:id="rId187" xr:uid="{E7B781DB-7DBE-3740-B48A-56750B4CD648}"/>
    <hyperlink ref="G11" r:id="rId188" xr:uid="{0FFB5E8B-1FEB-A74A-95AF-13F630D0998B}"/>
    <hyperlink ref="G17" r:id="rId189" xr:uid="{F5F84263-0921-DB4D-9AE3-B529BF773EC9}"/>
    <hyperlink ref="G8" r:id="rId190" xr:uid="{125F544E-EF86-8B42-BFA6-79A2A8380357}"/>
    <hyperlink ref="G10" r:id="rId191" xr:uid="{FE2E250D-6B29-684D-92F1-52E86BDF41E5}"/>
    <hyperlink ref="G12" r:id="rId192" xr:uid="{701F4F14-B167-E74A-8416-39B72352F3FE}"/>
    <hyperlink ref="G21" r:id="rId193" xr:uid="{265D71F1-E898-4248-A5C3-F4B9F2C39C0F}"/>
    <hyperlink ref="G26" r:id="rId194" xr:uid="{29977DEE-AB4C-9E44-ABC1-638E396B8CA5}"/>
    <hyperlink ref="G31" r:id="rId195" xr:uid="{1C252B89-21C3-2B47-8955-C99286F53ADA}"/>
    <hyperlink ref="G24" r:id="rId196" xr:uid="{60FD1CFA-593B-6D47-AF0B-AD546F20ABAE}"/>
    <hyperlink ref="G80" r:id="rId197" xr:uid="{300590AE-DC5F-1541-9282-823FC68F7F98}"/>
    <hyperlink ref="G47" r:id="rId198" xr:uid="{3B027634-8496-8540-86D7-37B25EEC2D5C}"/>
    <hyperlink ref="G55" r:id="rId199" xr:uid="{DDD9F933-45FC-1B42-9D01-EB1DECE9698B}"/>
    <hyperlink ref="G56" r:id="rId200" xr:uid="{B8ACD227-7EF6-6748-83D7-243A5317FCF9}"/>
    <hyperlink ref="G58" r:id="rId201" xr:uid="{A428B67E-A35B-A44B-B79C-2BDD99060029}"/>
    <hyperlink ref="G57" r:id="rId202" xr:uid="{FE7A0E30-89C6-BC4F-A03A-16B225048FC5}"/>
    <hyperlink ref="G74" r:id="rId203" xr:uid="{53B7425B-F0D2-5E4B-A658-3C52AD221F1C}"/>
    <hyperlink ref="G72" r:id="rId204" xr:uid="{0C75CE08-D1BA-5746-9FCB-4C64C1B08DD0}"/>
    <hyperlink ref="G86" r:id="rId205" xr:uid="{3CF6E81B-9FFA-A042-8C2F-B823D6BA3556}"/>
    <hyperlink ref="G94" r:id="rId206" xr:uid="{556CF122-1D07-F045-9DBB-EFD56FA8D18A}"/>
    <hyperlink ref="G87" r:id="rId207" xr:uid="{5D6D142D-1F92-AD41-9886-57DA778C8AA2}"/>
    <hyperlink ref="G91" r:id="rId208" xr:uid="{413D25CD-96F7-474A-8C6E-A74206B47B88}"/>
    <hyperlink ref="G103" r:id="rId209" xr:uid="{A809DF44-5A05-A74E-96BA-D0B16ABB3EB9}"/>
    <hyperlink ref="G100" r:id="rId210" xr:uid="{1D12B5AB-3091-2B47-837B-4A6D2FABFE3D}"/>
    <hyperlink ref="G107" r:id="rId211" xr:uid="{D495D792-ED28-E94F-893B-4AD153FBD7CB}"/>
    <hyperlink ref="G111" r:id="rId212" xr:uid="{D9A9288A-21A4-3E49-937D-5E16D32EE822}"/>
    <hyperlink ref="G129" r:id="rId213" xr:uid="{99D106FD-F3C9-6441-A51B-2BC1658DBD30}"/>
    <hyperlink ref="G116" r:id="rId214" xr:uid="{616429B6-EC5E-5D42-8823-CCC4E776676E}"/>
    <hyperlink ref="G128" r:id="rId215" xr:uid="{58AEBF6D-AC84-E84A-9342-AF0016B4F32E}"/>
    <hyperlink ref="G125" r:id="rId216" xr:uid="{1F5C670F-D2D6-E04B-A6F8-2CD9FF63AFB4}"/>
    <hyperlink ref="G126" r:id="rId217" xr:uid="{5E9B35E5-87C5-654F-B52A-1126DA9D5D1A}"/>
    <hyperlink ref="G138" r:id="rId218" xr:uid="{C5779EA7-C144-8C48-852B-BB4B05F709CE}"/>
    <hyperlink ref="G144" r:id="rId219" xr:uid="{023AEA50-8312-6245-A157-92A07267E0C2}"/>
    <hyperlink ref="G146" r:id="rId220" xr:uid="{F3FD44D8-3883-744D-93F1-0A24527DA57F}"/>
    <hyperlink ref="G150" r:id="rId221" xr:uid="{13269F67-1875-C04A-B6AB-93C9FC11699E}"/>
    <hyperlink ref="G161" r:id="rId222" xr:uid="{06CAACC7-0B81-E145-91D0-CD055CBD1134}"/>
    <hyperlink ref="G159" r:id="rId223" xr:uid="{BDFAA87B-AAF3-BB4E-AC76-C5629C717F45}"/>
    <hyperlink ref="G168" r:id="rId224" xr:uid="{ED2FB72A-BA98-7F4E-87C9-AF0257D7AE51}"/>
    <hyperlink ref="G169" r:id="rId225" xr:uid="{44814C63-DF7A-034A-A0E9-F45F6B5CF94A}"/>
    <hyperlink ref="G174" r:id="rId226" xr:uid="{245CF499-F2DC-894A-8F20-B2E45981D9A4}"/>
    <hyperlink ref="G177" r:id="rId227" xr:uid="{E8CF42DB-D861-DC42-9ADA-62183182242F}"/>
    <hyperlink ref="G182" r:id="rId228" xr:uid="{68EEAF95-6DC5-9C47-863D-5AC2168001C5}"/>
    <hyperlink ref="G186" r:id="rId229" xr:uid="{301FEB07-0A3D-8E49-916D-090F3EFB0819}"/>
    <hyperlink ref="G187" r:id="rId230" xr:uid="{90DACCCD-7B69-BB48-B9F8-8F8298B915E7}"/>
    <hyperlink ref="G188" r:id="rId231" xr:uid="{673DDBF3-728D-D841-B759-6905D16AC21C}"/>
    <hyperlink ref="G191" r:id="rId232" xr:uid="{72837F73-B159-0E45-8033-72654E985640}"/>
    <hyperlink ref="G197" r:id="rId233" xr:uid="{663ADD8E-2426-E049-B743-F6ACAAF9929A}"/>
    <hyperlink ref="G196" r:id="rId234" xr:uid="{9E28D058-DCB1-0A4D-847C-4CEDC5144A93}"/>
    <hyperlink ref="G208" r:id="rId235" xr:uid="{96C25F09-A588-6E42-9B32-B842440E0B31}"/>
    <hyperlink ref="G209" r:id="rId236" xr:uid="{31A2F437-2666-B04E-9F14-68D8994E05D4}"/>
    <hyperlink ref="G222" r:id="rId237" xr:uid="{D73334A9-BD54-0641-A085-808C4C2A3CF6}"/>
    <hyperlink ref="G223" r:id="rId238" xr:uid="{620901C9-98DA-624F-9738-21A1C2F36383}"/>
    <hyperlink ref="G224" r:id="rId239" xr:uid="{4171DB16-0F09-0740-84F4-3C6A7169773A}"/>
    <hyperlink ref="G226" r:id="rId240" xr:uid="{08CB03F2-51C8-F54F-BA27-AA768A9DA6A1}"/>
    <hyperlink ref="G227" r:id="rId241" xr:uid="{5887C272-4F62-F145-933E-A3BC97B99AFB}"/>
    <hyperlink ref="G229" r:id="rId242" xr:uid="{58A67317-029B-3A48-8011-8E61E528277F}"/>
    <hyperlink ref="G231" r:id="rId243" xr:uid="{2CFF697E-B051-664A-84FC-7BC0C7D41604}"/>
    <hyperlink ref="G232" r:id="rId244" xr:uid="{9E0727A5-53EE-E841-8460-5C0B8EA2ABBE}"/>
    <hyperlink ref="G234" r:id="rId245" xr:uid="{8DE101F9-570A-DE49-B513-0A639D366BB2}"/>
    <hyperlink ref="G238" r:id="rId246" xr:uid="{4449D500-B8B9-8346-BCD6-64116405CC8C}"/>
    <hyperlink ref="G235" r:id="rId247" xr:uid="{6C9EF81B-8FE5-E642-B35C-0AFF28F085A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Renovacões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Costa</dc:creator>
  <cp:lastModifiedBy>Luciano Costa</cp:lastModifiedBy>
  <dcterms:created xsi:type="dcterms:W3CDTF">2026-03-17T15:20:29Z</dcterms:created>
  <dcterms:modified xsi:type="dcterms:W3CDTF">2026-03-17T15:23:30Z</dcterms:modified>
</cp:coreProperties>
</file>